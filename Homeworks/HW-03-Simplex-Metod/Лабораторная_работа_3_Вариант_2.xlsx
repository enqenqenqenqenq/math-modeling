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q\Documents\topRepos\math-modeling\Homeworks\HW-03-Simplex-Metod\"/>
    </mc:Choice>
  </mc:AlternateContent>
  <xr:revisionPtr revIDLastSave="0" documentId="13_ncr:1_{CD7112D8-C697-470A-9A33-A93571E9B2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оиск решения (Solver)" sheetId="1" r:id="rId1"/>
    <sheet name="Симплекс-метод (Таблицы)" sheetId="2" r:id="rId2"/>
    <sheet name="Метод искусственного базис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2" l="1"/>
  <c r="G20" i="2"/>
  <c r="G14" i="2"/>
  <c r="G21" i="2" s="1"/>
  <c r="F14" i="2"/>
  <c r="E14" i="2"/>
  <c r="E21" i="2" s="1"/>
  <c r="D14" i="2"/>
  <c r="D21" i="2" s="1"/>
  <c r="C14" i="2"/>
  <c r="H14" i="2" s="1"/>
  <c r="G13" i="2"/>
  <c r="G15" i="2" s="1"/>
  <c r="F13" i="2"/>
  <c r="F15" i="2" s="1"/>
  <c r="E13" i="2"/>
  <c r="E20" i="2" s="1"/>
  <c r="E22" i="2" s="1"/>
  <c r="D13" i="2"/>
  <c r="D20" i="2" s="1"/>
  <c r="D22" i="2" s="1"/>
  <c r="C13" i="2"/>
  <c r="C20" i="2" s="1"/>
  <c r="G8" i="2"/>
  <c r="F8" i="2"/>
  <c r="E8" i="2"/>
  <c r="D8" i="2"/>
  <c r="C8" i="2"/>
  <c r="H7" i="2"/>
  <c r="H6" i="2"/>
  <c r="D25" i="1"/>
  <c r="G25" i="1" s="1"/>
  <c r="D24" i="1"/>
  <c r="G24" i="1" s="1"/>
  <c r="C20" i="1"/>
  <c r="G22" i="2" l="1"/>
  <c r="F20" i="2"/>
  <c r="F22" i="2" s="1"/>
  <c r="C21" i="2"/>
  <c r="C22" i="2" s="1"/>
  <c r="C15" i="2"/>
  <c r="D15" i="2"/>
  <c r="E15" i="2"/>
  <c r="H13" i="2"/>
</calcChain>
</file>

<file path=xl/sharedStrings.xml><?xml version="1.0" encoding="utf-8"?>
<sst xmlns="http://schemas.openxmlformats.org/spreadsheetml/2006/main" count="187" uniqueCount="151">
  <si>
    <t>Лабораторная работа №3. Симплекс-метод и метод искусственного базиса</t>
  </si>
  <si>
    <t>Вариант №2 (Запас материала изменен на 80 ед.) | Студент: Николаев Тимофей (3 курс)</t>
  </si>
  <si>
    <t>1. Исходные параметры производства и ресурсов</t>
  </si>
  <si>
    <t>Продукт</t>
  </si>
  <si>
    <t>Норма расхода: Труд (ч/ед)</t>
  </si>
  <si>
    <t>Норма расхода: Материал (ед/ед)</t>
  </si>
  <si>
    <t>Прибыль на единицу (руб.)</t>
  </si>
  <si>
    <t>Продукт A (x1)</t>
  </si>
  <si>
    <t>Продукт B (x2)</t>
  </si>
  <si>
    <t>Общий доступный фонд ресурсов</t>
  </si>
  <si>
    <t>—</t>
  </si>
  <si>
    <t>2. Математическая модель задачи</t>
  </si>
  <si>
    <t>Целевая функция (максимизация прибыли):</t>
  </si>
  <si>
    <t>Z = 40·x1 + 30·x2  →  max</t>
  </si>
  <si>
    <t>Ограничение по труду:</t>
  </si>
  <si>
    <t>2·x1 + 4·x2  ≤  100 (часов)</t>
  </si>
  <si>
    <t>Ограничение по материалу (Вар. 2):</t>
  </si>
  <si>
    <t>3·x1 + 2·x2  ≤  80 (единиц)</t>
  </si>
  <si>
    <t>Условие неотрицательности:</t>
  </si>
  <si>
    <t>x1 ≥ 0,  x2 ≥ 0</t>
  </si>
  <si>
    <t>3. Оптимальный план производства (Результаты надстройки «Поиск решения»)</t>
  </si>
  <si>
    <t>Переменная</t>
  </si>
  <si>
    <t>Наименование продукта</t>
  </si>
  <si>
    <t>Оптимальный объем (x*)</t>
  </si>
  <si>
    <t>Ед. изм.</t>
  </si>
  <si>
    <t>Статус в базисе</t>
  </si>
  <si>
    <t>x1</t>
  </si>
  <si>
    <t>Продукт A</t>
  </si>
  <si>
    <t>шт.</t>
  </si>
  <si>
    <t>Базисная (производится)</t>
  </si>
  <si>
    <t>x2</t>
  </si>
  <si>
    <t>Продукт B</t>
  </si>
  <si>
    <t>Целевая функция Zmax (Максимальная прибыль)</t>
  </si>
  <si>
    <t>руб.</t>
  </si>
  <si>
    <t>Оптимальное значение Z* = 1 125,00 руб.</t>
  </si>
  <si>
    <t>4. Анализ использования ресурсов и баланс ограничений</t>
  </si>
  <si>
    <t>Ресурс</t>
  </si>
  <si>
    <t>Расход на A</t>
  </si>
  <si>
    <t>Расход на B</t>
  </si>
  <si>
    <t>Фактический расход</t>
  </si>
  <si>
    <t>Знак</t>
  </si>
  <si>
    <t>Лимит (Запас)</t>
  </si>
  <si>
    <t>Неиспользованный остаток</t>
  </si>
  <si>
    <t>Статус ресурса</t>
  </si>
  <si>
    <t>Труд (часы)</t>
  </si>
  <si>
    <t>&lt;=</t>
  </si>
  <si>
    <t>Связывающий (дефицитный, s1 = 0)</t>
  </si>
  <si>
    <t>Материал (единицы)</t>
  </si>
  <si>
    <t>Связывающий (дефицитный, s2 = 0)</t>
  </si>
  <si>
    <t>5. Двойственные оценки (теневые цены) и границы устойчивости решения</t>
  </si>
  <si>
    <t>Теневая цена (y*) [руб.]</t>
  </si>
  <si>
    <t>Текущий запас</t>
  </si>
  <si>
    <t>Допустимое увеличение</t>
  </si>
  <si>
    <t>Допустимое уменьшение</t>
  </si>
  <si>
    <t>Интервал устойчивости ценности</t>
  </si>
  <si>
    <t>[ 53.33 ; 160.00 ] часов</t>
  </si>
  <si>
    <t>[ 50.00 ; 150.00 ] единиц</t>
  </si>
  <si>
    <t>Экономический вывод по теневым ценам:</t>
  </si>
  <si>
    <t>1) Теневая цена труда y1 = 1,25 руб./ч. Дополнительный 1 час труда принесет предприятию 1,25 рубля дополнительной прибыли.</t>
  </si>
  <si>
    <t>2) Теневая цена материала y2 = 12,50 руб./ед. Дополнительная 1 единица материала принесет предприятию 12,50 рублей прибыли.</t>
  </si>
  <si>
    <t>3) Приоритет инвестиций: Материал является наиболее критическим (дефицитным) ресурсом — его предельная ценность в 10 раз выше труда.</t>
  </si>
  <si>
    <t>Пошаговый расчет задачи симплекс-методом (Табличный алгоритм)</t>
  </si>
  <si>
    <t>Каноническая форма: 2·x1 + 4·x2 + s1 = 100;  3·x1 + 2·x2 + s2 = 80;  Z = 40·x1 + 30·x2 → max</t>
  </si>
  <si>
    <t>Итерация 0 (Начальная симплекс-таблица, Базис = {s1, s2})</t>
  </si>
  <si>
    <t>Базис</t>
  </si>
  <si>
    <t>Cбаз</t>
  </si>
  <si>
    <t>A0 (B)</t>
  </si>
  <si>
    <t>x1 (C=40)</t>
  </si>
  <si>
    <t>x2 (C=30)</t>
  </si>
  <si>
    <t>s1 (C=0)</t>
  </si>
  <si>
    <t>s2 (C=0)</t>
  </si>
  <si>
    <t>Отношение θ (B / a_ij)</t>
  </si>
  <si>
    <t>s1</t>
  </si>
  <si>
    <t>s2</t>
  </si>
  <si>
    <t>Δj (Zj - Cj)</t>
  </si>
  <si>
    <t>min θ = 26,67</t>
  </si>
  <si>
    <t>Анализ итерации 0: Есть отрицательные оценки: min Δj = Δ(x1) = -40,00 &lt; 0. Ведущий столбец — x1 (входит в базис). min θ = 80 / 3 = 26,67 в строке s2 (выходит из базиса). Ведущий элемент a21 = 3,00.</t>
  </si>
  <si>
    <t>Итерация 1 (Базис = {s1, x1})</t>
  </si>
  <si>
    <t>min θ = 17,50</t>
  </si>
  <si>
    <t>Анализ итерации 1: Z = 1066,67. Осталась отрицательная оценка: min Δj = Δ(x2) = -3,33 &lt; 0. Ведущий столбец — x2. min θ = 17,50 в строке s1 (выходит из базиса). Ведущий элемент a12 = 2,67 (8/3).</t>
  </si>
  <si>
    <t>Итерация 2 (Оптимальная таблица, Базис = {x2, x1})</t>
  </si>
  <si>
    <t>ОПТИМУМ (все Δj ≥ 0)</t>
  </si>
  <si>
    <t>Критерий оптимальности: Все индексные оценки неотрицательны (Δj ≥ 0). План оптимален! x1* = 15,00 шт., x2* = 17,50 шт., s1 = 0 (труд исчерпан), s2 = 0 (материал исчерпан). Zmax = 1 125,00 руб.</t>
  </si>
  <si>
    <t>Сводка результатов симплекс-метода:</t>
  </si>
  <si>
    <t>Показатель</t>
  </si>
  <si>
    <t>Обозначение</t>
  </si>
  <si>
    <t>Значение</t>
  </si>
  <si>
    <t>Единица измерения</t>
  </si>
  <si>
    <t>Экономический смысл</t>
  </si>
  <si>
    <t>Выпуск продукта A</t>
  </si>
  <si>
    <t>x1*</t>
  </si>
  <si>
    <t>Оптимальный объем производства продукта A</t>
  </si>
  <si>
    <t>Выпуск продукта B</t>
  </si>
  <si>
    <t>x2*</t>
  </si>
  <si>
    <t>Оптимальный объем производства продукта B</t>
  </si>
  <si>
    <t>Максимальная прибыль</t>
  </si>
  <si>
    <t>Zmax</t>
  </si>
  <si>
    <t>Максимальный доход от реализации оптимального плана</t>
  </si>
  <si>
    <t>Теневая цена ресурса «Труд»</t>
  </si>
  <si>
    <t>y1* = Δ(s1)</t>
  </si>
  <si>
    <t>руб./час</t>
  </si>
  <si>
    <t>Прирост прибыли при увеличении фонда труда на 1 час</t>
  </si>
  <si>
    <t>Теневая цена ресурса «Материал»</t>
  </si>
  <si>
    <t>y2* = Δ(s2)</t>
  </si>
  <si>
    <t>руб./ед.</t>
  </si>
  <si>
    <t>Прирост прибыли при увеличении запаса материала на 1 единицу</t>
  </si>
  <si>
    <t>Метод искусственного базиса (М-метод / Двухэтапный симплекс-метод)</t>
  </si>
  <si>
    <t>Теоретические основы, назначение искусственных переменных и алгоритм применения</t>
  </si>
  <si>
    <t>1. Назначение и условия применения метода искусственного базиса</t>
  </si>
  <si>
    <t>• Стандартный симплекс-метод требует наличия первоначального опорного плана (начального допустимого базиса).</t>
  </si>
  <si>
    <t>• Если все ограничения задачи имеют вид «≤» с неотрицательными правыми частями (как в базовом Варианте 2):</t>
  </si>
  <si>
    <t xml:space="preserve">    Введение дополнительных балансовых переменных (s1, s2 ≥ 0) с коэффициентом +1 автоматически образует единичную матрицу.</t>
  </si>
  <si>
    <t xml:space="preserve">    Начальный базис формируется мгновенно: s1 = 100, s2 = 80 при x1 = 0, x2 = 0 (допустимая вершина — начало координат).</t>
  </si>
  <si>
    <t>• Когда искусственный базис НЕОБХОДИМ:</t>
  </si>
  <si>
    <t xml:space="preserve">    1) В задаче присутствуют ограничения типа «≥» (например, гарантированный минимальный план: x1 ≥ 10, как в Варианте 9).</t>
  </si>
  <si>
    <t xml:space="preserve">       При канонизации вычитается балансовая переменная: x1 - s3 = 10. Коэффициент при s3 равен -1, поэтому она не может быть базисной!</t>
  </si>
  <si>
    <t xml:space="preserve">    2) В задаче присутствуют ограничения типа «=» (строгое равенство, жесткий объем производства или поставок).</t>
  </si>
  <si>
    <t xml:space="preserve">       В строгом равенстве балансовая переменная отсутствует вовсе, следовательно, базисный столбец не существует.</t>
  </si>
  <si>
    <t xml:space="preserve">    3) При наличии отрицательных правых частей bi &lt; 0 после умножения строки на (-1) знак неравенства переворачивается на «≥».</t>
  </si>
  <si>
    <t>2. Алгоритм введения штрафной функции (М-задача)</t>
  </si>
  <si>
    <t>Шаг 1: Для каждого ограничения без готовой базисной переменной вводится искусственная неотрицательная переменная Ri ≥ 0 (+1·Ri).</t>
  </si>
  <si>
    <t>Шаг 2: В целевую функцию вводится штраф за использование искусственных переменных:</t>
  </si>
  <si>
    <t xml:space="preserve">        При максимизации:  Z_M = Z - M · ∑ Ri  →  max   (где M — сколь угодно большое положительное число, M → +∞)</t>
  </si>
  <si>
    <t xml:space="preserve">        При минимизации:   F_M = F + M · ∑ Ri  →  min</t>
  </si>
  <si>
    <t>Шаг 3: Составляется начальная симплекс-таблица, где базис составляют искусственные переменные Ri и балансовые переменные si.</t>
  </si>
  <si>
    <t>Шаг 4: Выполняются стандартные симплекс-итерации. Огромный штраф (-M) заставляет алгоритм в первую очередь выводить Ri из базиса.</t>
  </si>
  <si>
    <t>Шаг 5: Анализ полученного финального решения:</t>
  </si>
  <si>
    <t xml:space="preserve">        А) Все искусственные переменные выведены из базиса (или Ri = 0)  ⇒  Получено оптимальное допустимое решение исходной задачи.</t>
  </si>
  <si>
    <t xml:space="preserve">        Б) В оптимальной таблице хотя бы одна Ri &gt; 0 со значением M в оценке  ⇒  Система ограничений несовместна (ОДР пуста).</t>
  </si>
  <si>
    <t>3. Практический пример применения М-метода (Сравнение структуры модели)</t>
  </si>
  <si>
    <t>Параметр сравнения</t>
  </si>
  <si>
    <t>Базовый вариант 2 (только ограничения «≤»)</t>
  </si>
  <si>
    <t>Модифицированный вариант (с ограничением «≥», например x1 ≥ 10)</t>
  </si>
  <si>
    <t>Исходные ограничения</t>
  </si>
  <si>
    <t>2·x1 + 4·x2 ≤ 100
3·x1 + 2·x2 ≤ 80</t>
  </si>
  <si>
    <t>2·x1 + 4·x2 ≤ 100
3·x1 + 2·x2 ≤ 80
x1 ≥ 10</t>
  </si>
  <si>
    <t>Каноническая форма</t>
  </si>
  <si>
    <t>2·x1 + 4·x2 + s1 = 100
3·x1 + 2·x2 + s2 = 80</t>
  </si>
  <si>
    <t>2·x1 + 4·x2 + s1 = 100
3·x1 + 2·x2 + s2 = 80
x1 - s3 + R1 = 10</t>
  </si>
  <si>
    <t>Начальный базис</t>
  </si>
  <si>
    <t>{ s1, s2 } — естественный допустимый</t>
  </si>
  <si>
    <t>{ s1, s2, R1 } — искусственный базис</t>
  </si>
  <si>
    <t>Целевая функция</t>
  </si>
  <si>
    <t>Z = 40·x1 + 30·x2 → max</t>
  </si>
  <si>
    <t>Z_M = 40·x1 + 30·x2 - M·R1 → max</t>
  </si>
  <si>
    <t>Необходимость М-метода</t>
  </si>
  <si>
    <t>Не требуется (стандартный симплекс)</t>
  </si>
  <si>
    <t>Обязателен М-метод или метод двух фаз</t>
  </si>
  <si>
    <t>В надстройке Excel</t>
  </si>
  <si>
    <t>Метод: «Поиск решения линейных задач (Simplex LP)»</t>
  </si>
  <si>
    <t>«Поиск решения линейных задач (Simplex LP)» (Excel решает автоматически)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</si>
</sst>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i/>
      <sz val="10"/>
      <color rgb="FF333333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9"/>
      <color rgb="FF444444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EAEAEA"/>
        <bgColor rgb="FFEAEAEA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/>
    <xf numFmtId="2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0" borderId="1" xfId="0" applyFont="1" applyBorder="1"/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right" vertical="center"/>
    </xf>
    <xf numFmtId="2" fontId="4" fillId="4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0" fillId="4" borderId="2" xfId="0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4" fillId="4" borderId="2" xfId="0" applyFont="1" applyFill="1" applyBorder="1"/>
    <xf numFmtId="0" fontId="0" fillId="4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workbookViewId="0"/>
  </sheetViews>
  <sheetFormatPr defaultRowHeight="15" x14ac:dyDescent="0.25"/>
  <cols>
    <col min="1" max="1" width="32" customWidth="1"/>
    <col min="2" max="2" width="25" customWidth="1"/>
    <col min="3" max="3" width="28" customWidth="1"/>
    <col min="4" max="4" width="24" customWidth="1"/>
    <col min="5" max="5" width="16" customWidth="1"/>
    <col min="6" max="6" width="18" customWidth="1"/>
    <col min="7" max="7" width="26" customWidth="1"/>
    <col min="8" max="8" width="34" customWidth="1"/>
  </cols>
  <sheetData>
    <row r="1" spans="1:4" ht="16.5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</row>
    <row r="5" spans="1:4" ht="24.95" customHeight="1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6">
        <v>2</v>
      </c>
      <c r="C6" s="6">
        <v>3</v>
      </c>
      <c r="D6" s="6">
        <v>40</v>
      </c>
    </row>
    <row r="7" spans="1:4" x14ac:dyDescent="0.25">
      <c r="A7" s="5" t="s">
        <v>8</v>
      </c>
      <c r="B7" s="6">
        <v>4</v>
      </c>
      <c r="C7" s="6">
        <v>2</v>
      </c>
      <c r="D7" s="6">
        <v>30</v>
      </c>
    </row>
    <row r="8" spans="1:4" x14ac:dyDescent="0.25">
      <c r="A8" s="7" t="s">
        <v>9</v>
      </c>
      <c r="B8" s="8">
        <v>100</v>
      </c>
      <c r="C8" s="8">
        <v>80</v>
      </c>
      <c r="D8" s="9" t="s">
        <v>10</v>
      </c>
    </row>
    <row r="10" spans="1:4" x14ac:dyDescent="0.25">
      <c r="A10" s="3" t="s">
        <v>11</v>
      </c>
    </row>
    <row r="11" spans="1:4" x14ac:dyDescent="0.25">
      <c r="A11" s="10" t="s">
        <v>12</v>
      </c>
      <c r="C11" s="10" t="s">
        <v>13</v>
      </c>
    </row>
    <row r="12" spans="1:4" x14ac:dyDescent="0.25">
      <c r="A12" s="11" t="s">
        <v>14</v>
      </c>
      <c r="C12" s="11" t="s">
        <v>15</v>
      </c>
    </row>
    <row r="13" spans="1:4" x14ac:dyDescent="0.25">
      <c r="A13" s="11" t="s">
        <v>16</v>
      </c>
      <c r="C13" s="11" t="s">
        <v>17</v>
      </c>
    </row>
    <row r="14" spans="1:4" x14ac:dyDescent="0.25">
      <c r="A14" s="11" t="s">
        <v>18</v>
      </c>
      <c r="C14" s="11" t="s">
        <v>19</v>
      </c>
    </row>
    <row r="16" spans="1:4" x14ac:dyDescent="0.25">
      <c r="A16" s="3" t="s">
        <v>20</v>
      </c>
    </row>
    <row r="17" spans="1:8" ht="24" customHeight="1" x14ac:dyDescent="0.25">
      <c r="A17" s="4" t="s">
        <v>21</v>
      </c>
      <c r="B17" s="4" t="s">
        <v>22</v>
      </c>
      <c r="C17" s="4" t="s">
        <v>23</v>
      </c>
      <c r="D17" s="4" t="s">
        <v>24</v>
      </c>
      <c r="E17" s="4" t="s">
        <v>25</v>
      </c>
    </row>
    <row r="18" spans="1:8" ht="25.5" x14ac:dyDescent="0.25">
      <c r="A18" s="12" t="s">
        <v>26</v>
      </c>
      <c r="B18" s="5" t="s">
        <v>27</v>
      </c>
      <c r="C18" s="13">
        <v>15</v>
      </c>
      <c r="D18" s="12" t="s">
        <v>28</v>
      </c>
      <c r="E18" s="5" t="s">
        <v>29</v>
      </c>
    </row>
    <row r="19" spans="1:8" ht="25.5" x14ac:dyDescent="0.25">
      <c r="A19" s="12" t="s">
        <v>30</v>
      </c>
      <c r="B19" s="5" t="s">
        <v>31</v>
      </c>
      <c r="C19" s="13">
        <v>17.5</v>
      </c>
      <c r="D19" s="12" t="s">
        <v>28</v>
      </c>
      <c r="E19" s="5" t="s">
        <v>29</v>
      </c>
    </row>
    <row r="20" spans="1:8" ht="38.25" x14ac:dyDescent="0.25">
      <c r="A20" s="30" t="s">
        <v>32</v>
      </c>
      <c r="B20" s="31"/>
      <c r="C20" s="14">
        <f>D6*C18+D7*C19</f>
        <v>1125</v>
      </c>
      <c r="D20" s="15" t="s">
        <v>33</v>
      </c>
      <c r="E20" s="16" t="s">
        <v>34</v>
      </c>
    </row>
    <row r="22" spans="1:8" x14ac:dyDescent="0.25">
      <c r="A22" s="3" t="s">
        <v>35</v>
      </c>
    </row>
    <row r="23" spans="1:8" ht="24.95" customHeight="1" x14ac:dyDescent="0.25">
      <c r="A23" s="4" t="s">
        <v>36</v>
      </c>
      <c r="B23" s="4" t="s">
        <v>37</v>
      </c>
      <c r="C23" s="4" t="s">
        <v>38</v>
      </c>
      <c r="D23" s="4" t="s">
        <v>39</v>
      </c>
      <c r="E23" s="4" t="s">
        <v>40</v>
      </c>
      <c r="F23" s="4" t="s">
        <v>41</v>
      </c>
      <c r="G23" s="4" t="s">
        <v>42</v>
      </c>
      <c r="H23" s="4" t="s">
        <v>43</v>
      </c>
    </row>
    <row r="24" spans="1:8" x14ac:dyDescent="0.25">
      <c r="A24" s="17" t="s">
        <v>44</v>
      </c>
      <c r="B24" s="18">
        <v>2</v>
      </c>
      <c r="C24" s="18">
        <v>4</v>
      </c>
      <c r="D24" s="13">
        <f>B24*$C$18+C24*$C$19</f>
        <v>100</v>
      </c>
      <c r="E24" s="19" t="s">
        <v>45</v>
      </c>
      <c r="F24" s="6">
        <v>100</v>
      </c>
      <c r="G24" s="13">
        <f>F24-D24</f>
        <v>0</v>
      </c>
      <c r="H24" s="20" t="s">
        <v>46</v>
      </c>
    </row>
    <row r="25" spans="1:8" x14ac:dyDescent="0.25">
      <c r="A25" s="17" t="s">
        <v>47</v>
      </c>
      <c r="B25" s="18">
        <v>3</v>
      </c>
      <c r="C25" s="18">
        <v>2</v>
      </c>
      <c r="D25" s="13">
        <f>B25*$C$18+C25*$C$19</f>
        <v>80</v>
      </c>
      <c r="E25" s="19" t="s">
        <v>45</v>
      </c>
      <c r="F25" s="6">
        <v>80</v>
      </c>
      <c r="G25" s="13">
        <f>F25-D25</f>
        <v>0</v>
      </c>
      <c r="H25" s="20" t="s">
        <v>48</v>
      </c>
    </row>
    <row r="27" spans="1:8" x14ac:dyDescent="0.25">
      <c r="A27" s="3" t="s">
        <v>49</v>
      </c>
    </row>
    <row r="28" spans="1:8" ht="24.95" customHeight="1" x14ac:dyDescent="0.25">
      <c r="A28" s="4" t="s">
        <v>36</v>
      </c>
      <c r="B28" s="4" t="s">
        <v>50</v>
      </c>
      <c r="C28" s="4" t="s">
        <v>51</v>
      </c>
      <c r="D28" s="4" t="s">
        <v>52</v>
      </c>
      <c r="E28" s="4" t="s">
        <v>53</v>
      </c>
      <c r="F28" s="4" t="s">
        <v>54</v>
      </c>
    </row>
    <row r="29" spans="1:8" ht="25.5" x14ac:dyDescent="0.25">
      <c r="A29" s="5" t="s">
        <v>44</v>
      </c>
      <c r="B29" s="13">
        <v>1.25</v>
      </c>
      <c r="C29" s="6">
        <v>100</v>
      </c>
      <c r="D29" s="6">
        <v>60</v>
      </c>
      <c r="E29" s="6">
        <v>46.67</v>
      </c>
      <c r="F29" s="12" t="s">
        <v>55</v>
      </c>
    </row>
    <row r="30" spans="1:8" ht="25.5" x14ac:dyDescent="0.25">
      <c r="A30" s="5" t="s">
        <v>47</v>
      </c>
      <c r="B30" s="13">
        <v>12.5</v>
      </c>
      <c r="C30" s="6">
        <v>80</v>
      </c>
      <c r="D30" s="6">
        <v>70</v>
      </c>
      <c r="E30" s="6">
        <v>30</v>
      </c>
      <c r="F30" s="12" t="s">
        <v>56</v>
      </c>
    </row>
    <row r="32" spans="1:8" x14ac:dyDescent="0.25">
      <c r="A32" s="10" t="s">
        <v>57</v>
      </c>
    </row>
    <row r="33" spans="1:1" x14ac:dyDescent="0.25">
      <c r="A33" s="11" t="s">
        <v>58</v>
      </c>
    </row>
    <row r="34" spans="1:1" x14ac:dyDescent="0.25">
      <c r="A34" s="11" t="s">
        <v>59</v>
      </c>
    </row>
    <row r="35" spans="1:1" x14ac:dyDescent="0.25">
      <c r="A35" s="10" t="s">
        <v>60</v>
      </c>
    </row>
  </sheetData>
  <mergeCells count="1">
    <mergeCell ref="A20:B20"/>
  </mergeCells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14" customWidth="1"/>
    <col min="4" max="7" width="16" customWidth="1"/>
    <col min="8" max="8" width="28" customWidth="1"/>
  </cols>
  <sheetData>
    <row r="1" spans="1:8" ht="16.5" x14ac:dyDescent="0.25">
      <c r="A1" s="1" t="s">
        <v>61</v>
      </c>
    </row>
    <row r="2" spans="1:8" x14ac:dyDescent="0.25">
      <c r="A2" s="2" t="s">
        <v>62</v>
      </c>
    </row>
    <row r="4" spans="1:8" x14ac:dyDescent="0.25">
      <c r="A4" s="3" t="s">
        <v>63</v>
      </c>
    </row>
    <row r="5" spans="1:8" ht="24" customHeight="1" x14ac:dyDescent="0.25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  <c r="H5" s="4" t="s">
        <v>71</v>
      </c>
    </row>
    <row r="6" spans="1:8" x14ac:dyDescent="0.25">
      <c r="A6" s="12" t="s">
        <v>72</v>
      </c>
      <c r="B6" s="6">
        <v>0</v>
      </c>
      <c r="C6" s="6">
        <v>100</v>
      </c>
      <c r="D6" s="6">
        <v>2</v>
      </c>
      <c r="E6" s="6">
        <v>4</v>
      </c>
      <c r="F6" s="6">
        <v>1</v>
      </c>
      <c r="G6" s="6">
        <v>0</v>
      </c>
      <c r="H6" s="6">
        <f>C6/D6</f>
        <v>50</v>
      </c>
    </row>
    <row r="7" spans="1:8" x14ac:dyDescent="0.25">
      <c r="A7" s="12" t="s">
        <v>73</v>
      </c>
      <c r="B7" s="6">
        <v>0</v>
      </c>
      <c r="C7" s="6">
        <v>80</v>
      </c>
      <c r="D7" s="21">
        <v>3</v>
      </c>
      <c r="E7" s="6">
        <v>2</v>
      </c>
      <c r="F7" s="6">
        <v>0</v>
      </c>
      <c r="G7" s="6">
        <v>1</v>
      </c>
      <c r="H7" s="21">
        <f>C7/D7</f>
        <v>26.666666666666668</v>
      </c>
    </row>
    <row r="8" spans="1:8" x14ac:dyDescent="0.25">
      <c r="A8" s="22" t="s">
        <v>74</v>
      </c>
      <c r="B8" s="23" t="s">
        <v>10</v>
      </c>
      <c r="C8" s="24">
        <f>B6*C6+B7*C7</f>
        <v>0</v>
      </c>
      <c r="D8" s="25">
        <f>B6*D6+B7*D7-40</f>
        <v>-40</v>
      </c>
      <c r="E8" s="24">
        <f>B6*E6+B7*E7-30</f>
        <v>-30</v>
      </c>
      <c r="F8" s="24">
        <f>B6*F6+B7*F7-0</f>
        <v>0</v>
      </c>
      <c r="G8" s="24">
        <f>B6*G6+B7*G7-0</f>
        <v>0</v>
      </c>
      <c r="H8" s="15" t="s">
        <v>75</v>
      </c>
    </row>
    <row r="9" spans="1:8" x14ac:dyDescent="0.25">
      <c r="A9" s="26" t="s">
        <v>76</v>
      </c>
    </row>
    <row r="11" spans="1:8" x14ac:dyDescent="0.25">
      <c r="A11" s="3" t="s">
        <v>77</v>
      </c>
    </row>
    <row r="12" spans="1:8" ht="24" customHeight="1" x14ac:dyDescent="0.25">
      <c r="A12" s="4" t="s">
        <v>64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71</v>
      </c>
    </row>
    <row r="13" spans="1:8" x14ac:dyDescent="0.25">
      <c r="A13" s="12" t="s">
        <v>72</v>
      </c>
      <c r="B13" s="6">
        <v>0</v>
      </c>
      <c r="C13" s="6">
        <f>C6-(D6/D7)*C7</f>
        <v>46.666666666666671</v>
      </c>
      <c r="D13" s="6">
        <f>D6-(D6/D7)*D7</f>
        <v>0</v>
      </c>
      <c r="E13" s="21">
        <f>E6-(D6/D7)*E7</f>
        <v>2.666666666666667</v>
      </c>
      <c r="F13" s="6">
        <f>F6-(D6/D7)*F7</f>
        <v>1</v>
      </c>
      <c r="G13" s="6">
        <f>G6-(D6/D7)*G7</f>
        <v>-0.66666666666666663</v>
      </c>
      <c r="H13" s="21">
        <f>C13/E13</f>
        <v>17.5</v>
      </c>
    </row>
    <row r="14" spans="1:8" x14ac:dyDescent="0.25">
      <c r="A14" s="12" t="s">
        <v>26</v>
      </c>
      <c r="B14" s="6">
        <v>40</v>
      </c>
      <c r="C14" s="6">
        <f>C7/D7</f>
        <v>26.666666666666668</v>
      </c>
      <c r="D14" s="6">
        <f>D7/D7</f>
        <v>1</v>
      </c>
      <c r="E14" s="6">
        <f>E7/D7</f>
        <v>0.66666666666666663</v>
      </c>
      <c r="F14" s="6">
        <f>F7/D7</f>
        <v>0</v>
      </c>
      <c r="G14" s="6">
        <f>G7/D7</f>
        <v>0.33333333333333331</v>
      </c>
      <c r="H14" s="6">
        <f>C14/E14</f>
        <v>40.000000000000007</v>
      </c>
    </row>
    <row r="15" spans="1:8" x14ac:dyDescent="0.25">
      <c r="A15" s="22" t="s">
        <v>74</v>
      </c>
      <c r="B15" s="23" t="s">
        <v>10</v>
      </c>
      <c r="C15" s="24">
        <f>B13*C13+B14*C14</f>
        <v>1066.6666666666667</v>
      </c>
      <c r="D15" s="24">
        <f>B13*D13+B14*D14-40</f>
        <v>0</v>
      </c>
      <c r="E15" s="25">
        <f>B13*E13+B14*E14-30</f>
        <v>-3.3333333333333357</v>
      </c>
      <c r="F15" s="24">
        <f>B13*F13+B14*F14-0</f>
        <v>0</v>
      </c>
      <c r="G15" s="24">
        <f>B13*G13+B14*G14-0</f>
        <v>13.333333333333332</v>
      </c>
      <c r="H15" s="15" t="s">
        <v>78</v>
      </c>
    </row>
    <row r="16" spans="1:8" x14ac:dyDescent="0.25">
      <c r="A16" s="26" t="s">
        <v>79</v>
      </c>
    </row>
    <row r="18" spans="1:8" x14ac:dyDescent="0.25">
      <c r="A18" s="3" t="s">
        <v>80</v>
      </c>
    </row>
    <row r="19" spans="1:8" ht="24" customHeight="1" x14ac:dyDescent="0.25">
      <c r="A19" s="4" t="s">
        <v>64</v>
      </c>
      <c r="B19" s="4" t="s">
        <v>65</v>
      </c>
      <c r="C19" s="4" t="s">
        <v>66</v>
      </c>
      <c r="D19" s="4" t="s">
        <v>67</v>
      </c>
      <c r="E19" s="4" t="s">
        <v>68</v>
      </c>
      <c r="F19" s="4" t="s">
        <v>69</v>
      </c>
      <c r="G19" s="4" t="s">
        <v>70</v>
      </c>
      <c r="H19" s="4" t="s">
        <v>71</v>
      </c>
    </row>
    <row r="20" spans="1:8" x14ac:dyDescent="0.25">
      <c r="A20" s="12" t="s">
        <v>30</v>
      </c>
      <c r="B20" s="6">
        <v>30</v>
      </c>
      <c r="C20" s="13">
        <f>C13/E13</f>
        <v>17.5</v>
      </c>
      <c r="D20" s="6">
        <f>D13/E13</f>
        <v>0</v>
      </c>
      <c r="E20" s="6">
        <f>E13/E13</f>
        <v>1</v>
      </c>
      <c r="F20" s="6">
        <f>F13/E13</f>
        <v>0.37499999999999994</v>
      </c>
      <c r="G20" s="6">
        <f>G13/E13</f>
        <v>-0.24999999999999994</v>
      </c>
      <c r="H20" s="12" t="s">
        <v>10</v>
      </c>
    </row>
    <row r="21" spans="1:8" x14ac:dyDescent="0.25">
      <c r="A21" s="12" t="s">
        <v>26</v>
      </c>
      <c r="B21" s="6">
        <v>40</v>
      </c>
      <c r="C21" s="13">
        <f>C14-(E14/E13)*C13</f>
        <v>15.000000000000002</v>
      </c>
      <c r="D21" s="6">
        <f>D14-(E14/E13)*D13</f>
        <v>1</v>
      </c>
      <c r="E21" s="6">
        <f>E14-(E14/E13)*E13</f>
        <v>0</v>
      </c>
      <c r="F21" s="6">
        <f>F14-(E14/E13)*F13</f>
        <v>-0.24999999999999994</v>
      </c>
      <c r="G21" s="6">
        <f>G14-(E14/E13)*G13</f>
        <v>0.49999999999999994</v>
      </c>
      <c r="H21" s="12" t="s">
        <v>10</v>
      </c>
    </row>
    <row r="22" spans="1:8" x14ac:dyDescent="0.25">
      <c r="A22" s="15" t="s">
        <v>74</v>
      </c>
      <c r="B22" s="27" t="s">
        <v>10</v>
      </c>
      <c r="C22" s="14">
        <f>B20*C20+B21*C21</f>
        <v>1125</v>
      </c>
      <c r="D22" s="25">
        <f>B20*D20+B21*D21-40</f>
        <v>0</v>
      </c>
      <c r="E22" s="25">
        <f>B20*E20+B21*E21-30</f>
        <v>0</v>
      </c>
      <c r="F22" s="25">
        <f>B20*F20+B21*F21-0</f>
        <v>1.25</v>
      </c>
      <c r="G22" s="25">
        <f>B20*G20+B21*G21-0</f>
        <v>12.499999999999998</v>
      </c>
      <c r="H22" s="15" t="s">
        <v>81</v>
      </c>
    </row>
    <row r="23" spans="1:8" x14ac:dyDescent="0.25">
      <c r="A23" s="10" t="s">
        <v>82</v>
      </c>
    </row>
    <row r="25" spans="1:8" x14ac:dyDescent="0.25">
      <c r="A25" s="3" t="s">
        <v>83</v>
      </c>
    </row>
    <row r="26" spans="1:8" ht="24" customHeight="1" x14ac:dyDescent="0.25">
      <c r="A26" s="4" t="s">
        <v>84</v>
      </c>
      <c r="B26" s="4" t="s">
        <v>85</v>
      </c>
      <c r="C26" s="4" t="s">
        <v>86</v>
      </c>
      <c r="D26" s="4" t="s">
        <v>87</v>
      </c>
      <c r="E26" s="4" t="s">
        <v>88</v>
      </c>
    </row>
    <row r="27" spans="1:8" ht="51" x14ac:dyDescent="0.25">
      <c r="A27" s="5" t="s">
        <v>89</v>
      </c>
      <c r="B27" s="12" t="s">
        <v>90</v>
      </c>
      <c r="C27" s="13">
        <v>15</v>
      </c>
      <c r="D27" s="12" t="s">
        <v>28</v>
      </c>
      <c r="E27" s="5" t="s">
        <v>91</v>
      </c>
    </row>
    <row r="28" spans="1:8" ht="51" x14ac:dyDescent="0.25">
      <c r="A28" s="5" t="s">
        <v>92</v>
      </c>
      <c r="B28" s="12" t="s">
        <v>93</v>
      </c>
      <c r="C28" s="13">
        <v>17.5</v>
      </c>
      <c r="D28" s="12" t="s">
        <v>28</v>
      </c>
      <c r="E28" s="5" t="s">
        <v>94</v>
      </c>
    </row>
    <row r="29" spans="1:8" ht="63.75" x14ac:dyDescent="0.25">
      <c r="A29" s="5" t="s">
        <v>95</v>
      </c>
      <c r="B29" s="12" t="s">
        <v>96</v>
      </c>
      <c r="C29" s="28">
        <v>1125</v>
      </c>
      <c r="D29" s="12" t="s">
        <v>33</v>
      </c>
      <c r="E29" s="5" t="s">
        <v>97</v>
      </c>
    </row>
    <row r="30" spans="1:8" ht="51" x14ac:dyDescent="0.25">
      <c r="A30" s="5" t="s">
        <v>98</v>
      </c>
      <c r="B30" s="12" t="s">
        <v>99</v>
      </c>
      <c r="C30" s="13">
        <v>1.25</v>
      </c>
      <c r="D30" s="12" t="s">
        <v>100</v>
      </c>
      <c r="E30" s="5" t="s">
        <v>101</v>
      </c>
    </row>
    <row r="31" spans="1:8" ht="63.75" x14ac:dyDescent="0.25">
      <c r="A31" s="5" t="s">
        <v>102</v>
      </c>
      <c r="B31" s="12" t="s">
        <v>103</v>
      </c>
      <c r="C31" s="13">
        <v>12.5</v>
      </c>
      <c r="D31" s="12" t="s">
        <v>104</v>
      </c>
      <c r="E31" s="5" t="s">
        <v>105</v>
      </c>
    </row>
  </sheetData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34"/>
  <sheetViews>
    <sheetView workbookViewId="0"/>
  </sheetViews>
  <sheetFormatPr defaultRowHeight="15" x14ac:dyDescent="0.25"/>
  <cols>
    <col min="1" max="1" width="26" customWidth="1"/>
    <col min="2" max="2" width="46" customWidth="1"/>
    <col min="3" max="3" width="54" customWidth="1"/>
  </cols>
  <sheetData>
    <row r="1" spans="1:1" ht="16.5" x14ac:dyDescent="0.25">
      <c r="A1" s="1" t="s">
        <v>106</v>
      </c>
    </row>
    <row r="2" spans="1:1" x14ac:dyDescent="0.25">
      <c r="A2" s="2" t="s">
        <v>107</v>
      </c>
    </row>
    <row r="4" spans="1:1" x14ac:dyDescent="0.25">
      <c r="A4" s="3" t="s">
        <v>108</v>
      </c>
    </row>
    <row r="5" spans="1:1" x14ac:dyDescent="0.25">
      <c r="A5" s="11" t="s">
        <v>109</v>
      </c>
    </row>
    <row r="6" spans="1:1" x14ac:dyDescent="0.25">
      <c r="A6" s="11" t="s">
        <v>110</v>
      </c>
    </row>
    <row r="7" spans="1:1" x14ac:dyDescent="0.25">
      <c r="A7" s="11" t="s">
        <v>111</v>
      </c>
    </row>
    <row r="8" spans="1:1" x14ac:dyDescent="0.25">
      <c r="A8" s="11" t="s">
        <v>112</v>
      </c>
    </row>
    <row r="9" spans="1:1" x14ac:dyDescent="0.25">
      <c r="A9" s="10" t="s">
        <v>113</v>
      </c>
    </row>
    <row r="10" spans="1:1" x14ac:dyDescent="0.25">
      <c r="A10" s="11" t="s">
        <v>114</v>
      </c>
    </row>
    <row r="11" spans="1:1" x14ac:dyDescent="0.25">
      <c r="A11" s="11" t="s">
        <v>115</v>
      </c>
    </row>
    <row r="12" spans="1:1" x14ac:dyDescent="0.25">
      <c r="A12" s="11" t="s">
        <v>116</v>
      </c>
    </row>
    <row r="13" spans="1:1" x14ac:dyDescent="0.25">
      <c r="A13" s="11" t="s">
        <v>117</v>
      </c>
    </row>
    <row r="14" spans="1:1" x14ac:dyDescent="0.25">
      <c r="A14" s="11" t="s">
        <v>118</v>
      </c>
    </row>
    <row r="16" spans="1:1" x14ac:dyDescent="0.25">
      <c r="A16" s="3" t="s">
        <v>119</v>
      </c>
    </row>
    <row r="17" spans="1:3" x14ac:dyDescent="0.25">
      <c r="A17" s="11" t="s">
        <v>120</v>
      </c>
    </row>
    <row r="18" spans="1:3" x14ac:dyDescent="0.25">
      <c r="A18" s="11" t="s">
        <v>121</v>
      </c>
    </row>
    <row r="19" spans="1:3" x14ac:dyDescent="0.25">
      <c r="A19" s="10" t="s">
        <v>122</v>
      </c>
    </row>
    <row r="20" spans="1:3" x14ac:dyDescent="0.25">
      <c r="A20" s="10" t="s">
        <v>123</v>
      </c>
    </row>
    <row r="21" spans="1:3" x14ac:dyDescent="0.25">
      <c r="A21" s="11" t="s">
        <v>124</v>
      </c>
    </row>
    <row r="22" spans="1:3" x14ac:dyDescent="0.25">
      <c r="A22" s="11" t="s">
        <v>125</v>
      </c>
    </row>
    <row r="23" spans="1:3" x14ac:dyDescent="0.25">
      <c r="A23" s="10" t="s">
        <v>126</v>
      </c>
    </row>
    <row r="24" spans="1:3" x14ac:dyDescent="0.25">
      <c r="A24" s="11" t="s">
        <v>127</v>
      </c>
    </row>
    <row r="25" spans="1:3" x14ac:dyDescent="0.25">
      <c r="A25" s="11" t="s">
        <v>128</v>
      </c>
    </row>
    <row r="27" spans="1:3" x14ac:dyDescent="0.25">
      <c r="A27" s="3" t="s">
        <v>129</v>
      </c>
    </row>
    <row r="28" spans="1:3" ht="24.95" customHeight="1" x14ac:dyDescent="0.25">
      <c r="A28" s="4" t="s">
        <v>130</v>
      </c>
      <c r="B28" s="4" t="s">
        <v>131</v>
      </c>
      <c r="C28" s="4" t="s">
        <v>132</v>
      </c>
    </row>
    <row r="29" spans="1:3" ht="36" customHeight="1" x14ac:dyDescent="0.25">
      <c r="A29" s="29" t="s">
        <v>133</v>
      </c>
      <c r="B29" s="5" t="s">
        <v>134</v>
      </c>
      <c r="C29" s="5" t="s">
        <v>135</v>
      </c>
    </row>
    <row r="30" spans="1:3" ht="36" customHeight="1" x14ac:dyDescent="0.25">
      <c r="A30" s="29" t="s">
        <v>136</v>
      </c>
      <c r="B30" s="5" t="s">
        <v>137</v>
      </c>
      <c r="C30" s="5" t="s">
        <v>138</v>
      </c>
    </row>
    <row r="31" spans="1:3" ht="21.95" customHeight="1" x14ac:dyDescent="0.25">
      <c r="A31" s="29" t="s">
        <v>139</v>
      </c>
      <c r="B31" s="5" t="s">
        <v>140</v>
      </c>
      <c r="C31" s="5" t="s">
        <v>141</v>
      </c>
    </row>
    <row r="32" spans="1:3" ht="21.95" customHeight="1" x14ac:dyDescent="0.25">
      <c r="A32" s="29" t="s">
        <v>142</v>
      </c>
      <c r="B32" s="5" t="s">
        <v>143</v>
      </c>
      <c r="C32" s="5" t="s">
        <v>144</v>
      </c>
    </row>
    <row r="33" spans="1:3" ht="21.95" customHeight="1" x14ac:dyDescent="0.25">
      <c r="A33" s="29" t="s">
        <v>145</v>
      </c>
      <c r="B33" s="5" t="s">
        <v>146</v>
      </c>
      <c r="C33" s="5" t="s">
        <v>147</v>
      </c>
    </row>
    <row r="34" spans="1:3" ht="21.95" customHeight="1" x14ac:dyDescent="0.25">
      <c r="A34" s="29" t="s">
        <v>148</v>
      </c>
      <c r="B34" s="5" t="s">
        <v>149</v>
      </c>
      <c r="C34" s="5" t="s">
        <v>150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Поиск решения (Solver)</vt:lpstr>
      <vt:lpstr>Симплекс-метод (Таблицы)</vt:lpstr>
      <vt:lpstr>Метод искусственного базиса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enq enq</cp:lastModifiedBy>
  <dcterms:created xsi:type="dcterms:W3CDTF">2026-10-20T22:23:24Z</dcterms:created>
  <dcterms:modified xsi:type="dcterms:W3CDTF">2026-10-20T22:23:25Z</dcterms:modified>
</cp:coreProperties>
</file>