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q\Documents\topRepos\math-modeling\Homeworks\HW-02-Graficheskiy-Metod-LP\"/>
    </mc:Choice>
  </mc:AlternateContent>
  <xr:revisionPtr revIDLastSave="0" documentId="13_ncr:1_{00A3B727-AAAA-4D46-9570-287660908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ча 1 (Диета)" sheetId="1" r:id="rId1"/>
    <sheet name="Задача 2 (Ресурсы ЖБИ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2" l="1"/>
  <c r="E22" i="2"/>
  <c r="D22" i="2"/>
  <c r="C22" i="2"/>
  <c r="G21" i="2"/>
  <c r="E21" i="2"/>
  <c r="D21" i="2"/>
  <c r="C21" i="2"/>
  <c r="G20" i="2"/>
  <c r="E20" i="2"/>
  <c r="D20" i="2"/>
  <c r="C20" i="2"/>
  <c r="G19" i="2"/>
  <c r="E19" i="2"/>
  <c r="D19" i="2"/>
  <c r="C19" i="2"/>
  <c r="G18" i="2"/>
  <c r="E18" i="2"/>
  <c r="D18" i="2"/>
  <c r="C18" i="2"/>
  <c r="G17" i="2"/>
  <c r="E17" i="2"/>
  <c r="D17" i="2"/>
  <c r="C17" i="2"/>
  <c r="G16" i="2"/>
  <c r="E16" i="2"/>
  <c r="D16" i="2"/>
  <c r="C16" i="2"/>
  <c r="G15" i="2"/>
  <c r="E15" i="2"/>
  <c r="D15" i="2"/>
  <c r="C15" i="2"/>
  <c r="G14" i="2"/>
  <c r="E14" i="2"/>
  <c r="D14" i="2"/>
  <c r="C14" i="2"/>
  <c r="G13" i="2"/>
  <c r="E13" i="2"/>
  <c r="D13" i="2"/>
  <c r="C13" i="2"/>
  <c r="G12" i="2"/>
  <c r="E12" i="2"/>
  <c r="D12" i="2"/>
  <c r="C12" i="2"/>
  <c r="G11" i="2"/>
  <c r="E11" i="2"/>
  <c r="D11" i="2"/>
  <c r="C11" i="2"/>
  <c r="G10" i="2"/>
  <c r="E10" i="2"/>
  <c r="D10" i="2"/>
  <c r="C10" i="2"/>
  <c r="G9" i="2"/>
  <c r="E9" i="2"/>
  <c r="D9" i="2"/>
  <c r="C9" i="2"/>
  <c r="G8" i="2"/>
  <c r="E8" i="2"/>
  <c r="D8" i="2"/>
  <c r="C8" i="2"/>
  <c r="G21" i="1"/>
  <c r="D21" i="1"/>
  <c r="C21" i="1"/>
  <c r="G20" i="1"/>
  <c r="D20" i="1"/>
  <c r="C20" i="1"/>
  <c r="G19" i="1"/>
  <c r="D19" i="1"/>
  <c r="C19" i="1"/>
  <c r="G18" i="1"/>
  <c r="D18" i="1"/>
  <c r="C18" i="1"/>
  <c r="G17" i="1"/>
  <c r="D17" i="1"/>
  <c r="C17" i="1"/>
  <c r="G16" i="1"/>
  <c r="D16" i="1"/>
  <c r="C16" i="1"/>
  <c r="G15" i="1"/>
  <c r="D15" i="1"/>
  <c r="C15" i="1"/>
  <c r="G14" i="1"/>
  <c r="D14" i="1"/>
  <c r="C14" i="1"/>
  <c r="G13" i="1"/>
  <c r="D13" i="1"/>
  <c r="C13" i="1"/>
  <c r="G12" i="1"/>
  <c r="D12" i="1"/>
  <c r="C12" i="1"/>
  <c r="G11" i="1"/>
  <c r="D11" i="1"/>
  <c r="C11" i="1"/>
  <c r="G10" i="1"/>
  <c r="D10" i="1"/>
  <c r="C10" i="1"/>
  <c r="G9" i="1"/>
  <c r="D9" i="1"/>
  <c r="C9" i="1"/>
  <c r="G8" i="1"/>
  <c r="D8" i="1"/>
  <c r="C8" i="1"/>
</calcChain>
</file>

<file path=xl/sharedStrings.xml><?xml version="1.0" encoding="utf-8"?>
<sst xmlns="http://schemas.openxmlformats.org/spreadsheetml/2006/main" count="46" uniqueCount="40">
  <si>
    <t>Практическая работа №2. Решение задач линейного программирования графическим методом</t>
  </si>
  <si>
    <t>Задача 1. Оптимизация суточного рациона (Задача о диете) | Вариант 12</t>
  </si>
  <si>
    <t>Цель: минимизировать стоимость рациона животных F = 6.5*X1 + 6*X2 -&gt; min при нормах веществ A &gt;= 6, B &gt;= 12, C &gt;= 4.8.</t>
  </si>
  <si>
    <t>Ограничения по питательным веществам</t>
  </si>
  <si>
    <t>Ц.Ф. min =</t>
  </si>
  <si>
    <t>X1 (Корм I)</t>
  </si>
  <si>
    <t>1-е (Вещ. A)</t>
  </si>
  <si>
    <t>2-е (Вещ. B)</t>
  </si>
  <si>
    <t>3-е (Вещ. C)</t>
  </si>
  <si>
    <t>4-е (X2 &gt;= 0)</t>
  </si>
  <si>
    <t>Линия Ц.Ф.</t>
  </si>
  <si>
    <t>ОПТИМАЛЬНОЕ РЕШЕНИЕ (ТОЧКА МИНИМУМА РАСХОДОВ)</t>
  </si>
  <si>
    <t>Оптимальный расход корма I (X1*):</t>
  </si>
  <si>
    <t>кг/сутки</t>
  </si>
  <si>
    <t>Оптимальный расход корма II (X2*):</t>
  </si>
  <si>
    <t>Минимальная суточная стоимость (Fmin):</t>
  </si>
  <si>
    <t>руб.</t>
  </si>
  <si>
    <t>• Точка минимума найдена на пересечении граничных прямых веществ A и B: (2.1*X1 + X2 = 6) и (2*X1 + 3*X2 = 12).</t>
  </si>
  <si>
    <t>• Аналитические координаты оптимума: X1 = 6/4.3 ≈ 1.3953 кг, X2 = 13.2/4.3 ≈ 3.0698 кг.</t>
  </si>
  <si>
    <t>• Потребность в веществе C полностью обеспечена: 5 * 3.0698 = 15.35 &gt;= 4.8 единиц (с запасом).</t>
  </si>
  <si>
    <t>• Линия уровня целевой функции F(X) = 6.5*X1 + 6*X2 касается области допустимых решений в найденной вершине.</t>
  </si>
  <si>
    <t>Цель: максимизировать прибыль от реализации ЖБИ F = 13.54*X1 + 8.43*X2 -&gt; max при ограничениях на металл, бетон и время.</t>
  </si>
  <si>
    <t>Ограничения по производственным ресурсам</t>
  </si>
  <si>
    <t>Ц.Ф. max =</t>
  </si>
  <si>
    <t>X1 (ЖБИ 1)</t>
  </si>
  <si>
    <t>1-е (Металл)</t>
  </si>
  <si>
    <t>2-е (Бетон)</t>
  </si>
  <si>
    <t>3-е (Время)</t>
  </si>
  <si>
    <t>ОПТИМАЛЬНОЕ РЕШЕНИЕ (ТОЧКА МАКСИМУМА ПРИБЫЛИ)</t>
  </si>
  <si>
    <t>Оптимальный выпуск ЖБИ 1-го типа (X1*):</t>
  </si>
  <si>
    <t>шт.</t>
  </si>
  <si>
    <t>Оптимальный выпуск ЖБИ 2-го типа (X2*):</t>
  </si>
  <si>
    <t>Максимальная прибыль предприятия (Fmax):</t>
  </si>
  <si>
    <t>• Точка максимума прибыли найдена на пересечении прямых металлопроката (1) и бетона (2): (2.8*X1 + 5.5*X2 = 271) и (22.9*X1 + 11.7*X2 = 616.6).</t>
  </si>
  <si>
    <t>• Аналитические координаты оптимума: X1 = 220.6 / 93.19 ≈ 2.3672 шт., X2 = 4479.42 / 93.19 ≈ 48.0676 шт.</t>
  </si>
  <si>
    <t>• Ограничение по рабочему времени выполнено с избытком: 18.9 * 2.3672 + 2.4 * 48.0676 = 160.10 &lt;= 256 часов (остаток 95.9 часов).</t>
  </si>
  <si>
    <t>• Линия уровня прибыли F(X) = 13.54*X1 + 8.43*X2 достигает опорной точки многоугольника решений при значении Fmax = 437.26 руб.</t>
  </si>
  <si>
    <t xml:space="preserve">Задача 2. Оптимизация плана производства ЖБИ (Распределение ресурсов) </t>
  </si>
  <si>
    <t xml:space="preserve">Студент: Николаев Тимофей (3 курс)  </t>
  </si>
  <si>
    <t>Студент: Николаев Тимофей (3 курс)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</si>
</sst>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b/>
      <sz val="11"/>
      <color rgb="FF000000"/>
      <name val="Calibri"/>
    </font>
    <font>
      <b/>
      <sz val="10"/>
      <color rgb="FF333333"/>
      <name val="Calibri"/>
    </font>
    <font>
      <i/>
      <sz val="10"/>
      <color rgb="FF333333"/>
      <name val="Calibri"/>
    </font>
    <font>
      <b/>
      <sz val="10"/>
      <color rgb="FF000000"/>
      <name val="Calibri"/>
    </font>
    <font>
      <b/>
      <sz val="10"/>
      <color rgb="FF1F4E79"/>
      <name val="Calibri"/>
    </font>
    <font>
      <sz val="10"/>
      <color rgb="FF000000"/>
      <name val="Calibri"/>
    </font>
    <font>
      <sz val="9.5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Графическое решение ЗЛП (Задача о диете)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'Задача 1 (Диета)'!$C$7</c:f>
              <c:strCache>
                <c:ptCount val="1"/>
                <c:pt idx="0">
                  <c:v>1-е (Вещ. A)</c:v>
                </c:pt>
              </c:strCache>
            </c:strRef>
          </c:tx>
          <c:spPr>
            <a:ln w="18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'Задача 1 (Диета)'!$B$8:$B$21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1.4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4.5599999999999996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</c:numCache>
            </c:numRef>
          </c:cat>
          <c:val>
            <c:numRef>
              <c:f>'Задача 1 (Диета)'!$C$8:$C$21</c:f>
              <c:numCache>
                <c:formatCode>0.00</c:formatCode>
                <c:ptCount val="14"/>
                <c:pt idx="0">
                  <c:v>6</c:v>
                </c:pt>
                <c:pt idx="1">
                  <c:v>4.95</c:v>
                </c:pt>
                <c:pt idx="2">
                  <c:v>3.9</c:v>
                </c:pt>
                <c:pt idx="3">
                  <c:v>3.06</c:v>
                </c:pt>
                <c:pt idx="4">
                  <c:v>2.8499999999999996</c:v>
                </c:pt>
                <c:pt idx="5">
                  <c:v>1.7999999999999998</c:v>
                </c:pt>
                <c:pt idx="6">
                  <c:v>0.75</c:v>
                </c:pt>
                <c:pt idx="7">
                  <c:v>-0.30000000000000071</c:v>
                </c:pt>
                <c:pt idx="8">
                  <c:v>-1.3500000000000005</c:v>
                </c:pt>
                <c:pt idx="9">
                  <c:v>-2.4000000000000004</c:v>
                </c:pt>
                <c:pt idx="10">
                  <c:v>-3.5759999999999987</c:v>
                </c:pt>
                <c:pt idx="11">
                  <c:v>-4.5</c:v>
                </c:pt>
                <c:pt idx="12">
                  <c:v>-5.5500000000000007</c:v>
                </c:pt>
                <c:pt idx="13">
                  <c:v>-6.6000000000000014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3A-4157-ACE7-8E16CCCBBBA6}"/>
            </c:ext>
          </c:extLst>
        </c:ser>
        <c:ser>
          <c:idx val="1"/>
          <c:order val="1"/>
          <c:tx>
            <c:strRef>
              <c:f>'Задача 1 (Диета)'!$D$7</c:f>
              <c:strCache>
                <c:ptCount val="1"/>
                <c:pt idx="0">
                  <c:v>2-е (Вещ. B)</c:v>
                </c:pt>
              </c:strCache>
            </c:strRef>
          </c:tx>
          <c:spPr>
            <a:ln w="1800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numRef>
              <c:f>'Задача 1 (Диета)'!$B$8:$B$21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1.4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4.5599999999999996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</c:numCache>
            </c:numRef>
          </c:cat>
          <c:val>
            <c:numRef>
              <c:f>'Задача 1 (Диета)'!$D$8:$D$21</c:f>
              <c:numCache>
                <c:formatCode>0.00</c:formatCode>
                <c:ptCount val="14"/>
                <c:pt idx="0">
                  <c:v>4</c:v>
                </c:pt>
                <c:pt idx="1">
                  <c:v>3.6666666666666665</c:v>
                </c:pt>
                <c:pt idx="2">
                  <c:v>3.3333333333333335</c:v>
                </c:pt>
                <c:pt idx="3">
                  <c:v>3.0666666666666664</c:v>
                </c:pt>
                <c:pt idx="4">
                  <c:v>3</c:v>
                </c:pt>
                <c:pt idx="5">
                  <c:v>2.6666666666666665</c:v>
                </c:pt>
                <c:pt idx="6">
                  <c:v>2.3333333333333335</c:v>
                </c:pt>
                <c:pt idx="7">
                  <c:v>2</c:v>
                </c:pt>
                <c:pt idx="8">
                  <c:v>1.6666666666666667</c:v>
                </c:pt>
                <c:pt idx="9">
                  <c:v>1.3333333333333333</c:v>
                </c:pt>
                <c:pt idx="10">
                  <c:v>0.9600000000000003</c:v>
                </c:pt>
                <c:pt idx="11">
                  <c:v>0.66666666666666663</c:v>
                </c:pt>
                <c:pt idx="12">
                  <c:v>0.33333333333333331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3A-4157-ACE7-8E16CCCBBBA6}"/>
            </c:ext>
          </c:extLst>
        </c:ser>
        <c:ser>
          <c:idx val="2"/>
          <c:order val="2"/>
          <c:tx>
            <c:strRef>
              <c:f>'Задача 1 (Диета)'!$E$7</c:f>
              <c:strCache>
                <c:ptCount val="1"/>
                <c:pt idx="0">
                  <c:v>3-е (Вещ. C)</c:v>
                </c:pt>
              </c:strCache>
            </c:strRef>
          </c:tx>
          <c:spPr>
            <a:ln w="18000">
              <a:solidFill>
                <a:srgbClr val="385723"/>
              </a:solidFill>
              <a:prstDash val="solid"/>
            </a:ln>
          </c:spPr>
          <c:marker>
            <c:symbol val="none"/>
          </c:marker>
          <c:cat>
            <c:numRef>
              <c:f>'Задача 1 (Диета)'!$B$8:$B$21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1.4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4.5599999999999996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</c:numCache>
            </c:numRef>
          </c:cat>
          <c:val>
            <c:numRef>
              <c:f>'Задача 1 (Диета)'!$E$8:$E$21</c:f>
              <c:numCache>
                <c:formatCode>0.00</c:formatCode>
                <c:ptCount val="14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0.96</c:v>
                </c:pt>
                <c:pt idx="6">
                  <c:v>0.96</c:v>
                </c:pt>
                <c:pt idx="7">
                  <c:v>0.96</c:v>
                </c:pt>
                <c:pt idx="8">
                  <c:v>0.96</c:v>
                </c:pt>
                <c:pt idx="9">
                  <c:v>0.96</c:v>
                </c:pt>
                <c:pt idx="10">
                  <c:v>0.96</c:v>
                </c:pt>
                <c:pt idx="11">
                  <c:v>0.96</c:v>
                </c:pt>
                <c:pt idx="12">
                  <c:v>0.96</c:v>
                </c:pt>
                <c:pt idx="13">
                  <c:v>0.96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33A-4157-ACE7-8E16CCCBBBA6}"/>
            </c:ext>
          </c:extLst>
        </c:ser>
        <c:ser>
          <c:idx val="3"/>
          <c:order val="3"/>
          <c:tx>
            <c:strRef>
              <c:f>'Задача 1 (Диета)'!$F$7</c:f>
              <c:strCache>
                <c:ptCount val="1"/>
                <c:pt idx="0">
                  <c:v>4-е (X2 &gt;= 0)</c:v>
                </c:pt>
              </c:strCache>
            </c:strRef>
          </c:tx>
          <c:spPr>
            <a:ln w="18000">
              <a:solidFill>
                <a:srgbClr val="7F7F7F"/>
              </a:solidFill>
              <a:prstDash val="solid"/>
            </a:ln>
          </c:spPr>
          <c:marker>
            <c:symbol val="none"/>
          </c:marker>
          <c:cat>
            <c:numRef>
              <c:f>'Задача 1 (Диета)'!$B$8:$B$21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1.4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4.5599999999999996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</c:numCache>
            </c:numRef>
          </c:cat>
          <c:val>
            <c:numRef>
              <c:f>'Задача 1 (Диета)'!$F$8:$F$21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33A-4157-ACE7-8E16CCCBBBA6}"/>
            </c:ext>
          </c:extLst>
        </c:ser>
        <c:ser>
          <c:idx val="4"/>
          <c:order val="4"/>
          <c:tx>
            <c:strRef>
              <c:f>'Задача 1 (Диета)'!$G$7</c:f>
              <c:strCache>
                <c:ptCount val="1"/>
                <c:pt idx="0">
                  <c:v>Линия Ц.Ф.</c:v>
                </c:pt>
              </c:strCache>
            </c:strRef>
          </c:tx>
          <c:spPr>
            <a:ln w="2500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'Задача 1 (Диета)'!$B$8:$B$21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1.4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4.5599999999999996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</c:numCache>
            </c:numRef>
          </c:cat>
          <c:val>
            <c:numRef>
              <c:f>'Задача 1 (Диета)'!$G$8:$G$21</c:f>
              <c:numCache>
                <c:formatCode>0.00</c:formatCode>
                <c:ptCount val="14"/>
                <c:pt idx="0">
                  <c:v>4.5816666666666661</c:v>
                </c:pt>
                <c:pt idx="1">
                  <c:v>4.04</c:v>
                </c:pt>
                <c:pt idx="2">
                  <c:v>3.4983333333333331</c:v>
                </c:pt>
                <c:pt idx="3">
                  <c:v>3.0649999999999999</c:v>
                </c:pt>
                <c:pt idx="4">
                  <c:v>2.9566666666666666</c:v>
                </c:pt>
                <c:pt idx="5">
                  <c:v>2.4149999999999996</c:v>
                </c:pt>
                <c:pt idx="6">
                  <c:v>1.8733333333333331</c:v>
                </c:pt>
                <c:pt idx="7">
                  <c:v>1.3316666666666663</c:v>
                </c:pt>
                <c:pt idx="8">
                  <c:v>0.7899999999999997</c:v>
                </c:pt>
                <c:pt idx="9">
                  <c:v>0.24833333333333307</c:v>
                </c:pt>
                <c:pt idx="10">
                  <c:v>-0.35833333333333311</c:v>
                </c:pt>
                <c:pt idx="11">
                  <c:v>-0.8350000000000003</c:v>
                </c:pt>
                <c:pt idx="12">
                  <c:v>-1.3766666666666669</c:v>
                </c:pt>
                <c:pt idx="13">
                  <c:v>-1.9183333333333337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33A-4157-ACE7-8E16CCCBB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 (</a:t>
                </a:r>
                <a:r>
                  <a:rPr lang="ru-RU"/>
                  <a:t>Корм </a:t>
                </a:r>
                <a:r>
                  <a:rPr lang="en-US"/>
                  <a:t>I, </a:t>
                </a:r>
                <a:r>
                  <a:rPr lang="ru-RU"/>
                  <a:t>кг)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 (</a:t>
                </a:r>
                <a:r>
                  <a:rPr lang="ru-RU"/>
                  <a:t>Корм </a:t>
                </a:r>
                <a:r>
                  <a:rPr lang="en-US"/>
                  <a:t>II, </a:t>
                </a:r>
                <a:r>
                  <a:rPr lang="ru-RU"/>
                  <a:t>кг)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Графическое решение ЗЛП (Распределение ресурсов)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'Задача 2 (Ресурсы ЖБИ)'!$C$7</c:f>
              <c:strCache>
                <c:ptCount val="1"/>
                <c:pt idx="0">
                  <c:v>1-е (Металл)</c:v>
                </c:pt>
              </c:strCache>
            </c:strRef>
          </c:tx>
          <c:spPr>
            <a:ln w="1800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numRef>
              <c:f>'Задача 2 (Ресурсы ЖБИ)'!$B$8:$B$22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2.37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9.1199999999999992</c:v>
                </c:pt>
                <c:pt idx="12">
                  <c:v>11</c:v>
                </c:pt>
                <c:pt idx="13">
                  <c:v>13</c:v>
                </c:pt>
                <c:pt idx="14">
                  <c:v>13.55</c:v>
                </c:pt>
              </c:numCache>
            </c:numRef>
          </c:cat>
          <c:val>
            <c:numRef>
              <c:f>'Задача 2 (Ресурсы ЖБИ)'!$C$8:$C$22</c:f>
              <c:numCache>
                <c:formatCode>0.00</c:formatCode>
                <c:ptCount val="15"/>
                <c:pt idx="0">
                  <c:v>49.272727272727273</c:v>
                </c:pt>
                <c:pt idx="1">
                  <c:v>48.763636363636358</c:v>
                </c:pt>
                <c:pt idx="2">
                  <c:v>48.25454545454545</c:v>
                </c:pt>
                <c:pt idx="3">
                  <c:v>48.066181818181811</c:v>
                </c:pt>
                <c:pt idx="4">
                  <c:v>47.74545454545455</c:v>
                </c:pt>
                <c:pt idx="5">
                  <c:v>47.236363636363642</c:v>
                </c:pt>
                <c:pt idx="6">
                  <c:v>46.727272727272727</c:v>
                </c:pt>
                <c:pt idx="7">
                  <c:v>46.218181818181819</c:v>
                </c:pt>
                <c:pt idx="8">
                  <c:v>45.709090909090911</c:v>
                </c:pt>
                <c:pt idx="9">
                  <c:v>45.199999999999996</c:v>
                </c:pt>
                <c:pt idx="10">
                  <c:v>44.690909090909095</c:v>
                </c:pt>
                <c:pt idx="11">
                  <c:v>44.62981818181818</c:v>
                </c:pt>
                <c:pt idx="12">
                  <c:v>43.672727272727272</c:v>
                </c:pt>
                <c:pt idx="13">
                  <c:v>42.654545454545456</c:v>
                </c:pt>
                <c:pt idx="14">
                  <c:v>42.374545454545455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7A-4F45-B20E-CB9FBE449F8B}"/>
            </c:ext>
          </c:extLst>
        </c:ser>
        <c:ser>
          <c:idx val="1"/>
          <c:order val="1"/>
          <c:tx>
            <c:strRef>
              <c:f>'Задача 2 (Ресурсы ЖБИ)'!$D$7</c:f>
              <c:strCache>
                <c:ptCount val="1"/>
                <c:pt idx="0">
                  <c:v>2-е (Бетон)</c:v>
                </c:pt>
              </c:strCache>
            </c:strRef>
          </c:tx>
          <c:spPr>
            <a:ln w="18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'Задача 2 (Ресурсы ЖБИ)'!$B$8:$B$22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2.37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9.1199999999999992</c:v>
                </c:pt>
                <c:pt idx="12">
                  <c:v>11</c:v>
                </c:pt>
                <c:pt idx="13">
                  <c:v>13</c:v>
                </c:pt>
                <c:pt idx="14">
                  <c:v>13.55</c:v>
                </c:pt>
              </c:numCache>
            </c:numRef>
          </c:cat>
          <c:val>
            <c:numRef>
              <c:f>'Задача 2 (Ресурсы ЖБИ)'!$D$8:$D$22</c:f>
              <c:numCache>
                <c:formatCode>0.00</c:formatCode>
                <c:ptCount val="15"/>
                <c:pt idx="0">
                  <c:v>52.700854700854705</c:v>
                </c:pt>
                <c:pt idx="1">
                  <c:v>50.743589743589752</c:v>
                </c:pt>
                <c:pt idx="2">
                  <c:v>48.786324786324798</c:v>
                </c:pt>
                <c:pt idx="3">
                  <c:v>48.062136752136752</c:v>
                </c:pt>
                <c:pt idx="4">
                  <c:v>46.829059829059837</c:v>
                </c:pt>
                <c:pt idx="5">
                  <c:v>44.871794871794876</c:v>
                </c:pt>
                <c:pt idx="6">
                  <c:v>42.914529914529922</c:v>
                </c:pt>
                <c:pt idx="7">
                  <c:v>40.957264957264961</c:v>
                </c:pt>
                <c:pt idx="8">
                  <c:v>39.000000000000007</c:v>
                </c:pt>
                <c:pt idx="9">
                  <c:v>37.042735042735046</c:v>
                </c:pt>
                <c:pt idx="10">
                  <c:v>35.085470085470085</c:v>
                </c:pt>
                <c:pt idx="11">
                  <c:v>34.850598290598299</c:v>
                </c:pt>
                <c:pt idx="12">
                  <c:v>31.170940170940177</c:v>
                </c:pt>
                <c:pt idx="13">
                  <c:v>27.256410256410263</c:v>
                </c:pt>
                <c:pt idx="14">
                  <c:v>26.179914529914534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7A-4F45-B20E-CB9FBE449F8B}"/>
            </c:ext>
          </c:extLst>
        </c:ser>
        <c:ser>
          <c:idx val="2"/>
          <c:order val="2"/>
          <c:tx>
            <c:strRef>
              <c:f>'Задача 2 (Ресурсы ЖБИ)'!$E$7</c:f>
              <c:strCache>
                <c:ptCount val="1"/>
                <c:pt idx="0">
                  <c:v>3-е (Время)</c:v>
                </c:pt>
              </c:strCache>
            </c:strRef>
          </c:tx>
          <c:spPr>
            <a:ln w="1800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numRef>
              <c:f>'Задача 2 (Ресурсы ЖБИ)'!$B$8:$B$22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2.37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9.1199999999999992</c:v>
                </c:pt>
                <c:pt idx="12">
                  <c:v>11</c:v>
                </c:pt>
                <c:pt idx="13">
                  <c:v>13</c:v>
                </c:pt>
                <c:pt idx="14">
                  <c:v>13.55</c:v>
                </c:pt>
              </c:numCache>
            </c:numRef>
          </c:cat>
          <c:val>
            <c:numRef>
              <c:f>'Задача 2 (Ресурсы ЖБИ)'!$E$8:$E$22</c:f>
              <c:numCache>
                <c:formatCode>0.00</c:formatCode>
                <c:ptCount val="15"/>
                <c:pt idx="0">
                  <c:v>106.66666666666667</c:v>
                </c:pt>
                <c:pt idx="1">
                  <c:v>98.791666666666671</c:v>
                </c:pt>
                <c:pt idx="2">
                  <c:v>90.916666666666671</c:v>
                </c:pt>
                <c:pt idx="3">
                  <c:v>88.002916666666664</c:v>
                </c:pt>
                <c:pt idx="4">
                  <c:v>83.041666666666671</c:v>
                </c:pt>
                <c:pt idx="5">
                  <c:v>75.166666666666671</c:v>
                </c:pt>
                <c:pt idx="6">
                  <c:v>67.291666666666671</c:v>
                </c:pt>
                <c:pt idx="7">
                  <c:v>59.416666666666679</c:v>
                </c:pt>
                <c:pt idx="8">
                  <c:v>51.541666666666679</c:v>
                </c:pt>
                <c:pt idx="9">
                  <c:v>43.666666666666671</c:v>
                </c:pt>
                <c:pt idx="10">
                  <c:v>35.791666666666671</c:v>
                </c:pt>
                <c:pt idx="11">
                  <c:v>34.846666666666685</c:v>
                </c:pt>
                <c:pt idx="12">
                  <c:v>20.041666666666679</c:v>
                </c:pt>
                <c:pt idx="13">
                  <c:v>4.2916666666666714</c:v>
                </c:pt>
                <c:pt idx="14">
                  <c:v>-3.9583333333321022E-2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7A-4F45-B20E-CB9FBE449F8B}"/>
            </c:ext>
          </c:extLst>
        </c:ser>
        <c:ser>
          <c:idx val="3"/>
          <c:order val="3"/>
          <c:tx>
            <c:strRef>
              <c:f>'Задача 2 (Ресурсы ЖБИ)'!$F$7</c:f>
              <c:strCache>
                <c:ptCount val="1"/>
                <c:pt idx="0">
                  <c:v>4-е (X2 &gt;= 0)</c:v>
                </c:pt>
              </c:strCache>
            </c:strRef>
          </c:tx>
          <c:spPr>
            <a:ln w="18000">
              <a:solidFill>
                <a:srgbClr val="7F7F7F"/>
              </a:solidFill>
              <a:prstDash val="solid"/>
            </a:ln>
          </c:spPr>
          <c:marker>
            <c:symbol val="none"/>
          </c:marker>
          <c:cat>
            <c:numRef>
              <c:f>'Задача 2 (Ресурсы ЖБИ)'!$B$8:$B$22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2.37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9.1199999999999992</c:v>
                </c:pt>
                <c:pt idx="12">
                  <c:v>11</c:v>
                </c:pt>
                <c:pt idx="13">
                  <c:v>13</c:v>
                </c:pt>
                <c:pt idx="14">
                  <c:v>13.55</c:v>
                </c:pt>
              </c:numCache>
            </c:numRef>
          </c:cat>
          <c:val>
            <c:numRef>
              <c:f>'Задача 2 (Ресурсы ЖБИ)'!$F$8:$F$22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E7A-4F45-B20E-CB9FBE449F8B}"/>
            </c:ext>
          </c:extLst>
        </c:ser>
        <c:ser>
          <c:idx val="4"/>
          <c:order val="4"/>
          <c:tx>
            <c:strRef>
              <c:f>'Задача 2 (Ресурсы ЖБИ)'!$G$7</c:f>
              <c:strCache>
                <c:ptCount val="1"/>
                <c:pt idx="0">
                  <c:v>Линия Ц.Ф.</c:v>
                </c:pt>
              </c:strCache>
            </c:strRef>
          </c:tx>
          <c:spPr>
            <a:ln w="2500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'Задача 2 (Ресурсы ЖБИ)'!$B$8:$B$22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2.37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9.1199999999999992</c:v>
                </c:pt>
                <c:pt idx="12">
                  <c:v>11</c:v>
                </c:pt>
                <c:pt idx="13">
                  <c:v>13</c:v>
                </c:pt>
                <c:pt idx="14">
                  <c:v>13.55</c:v>
                </c:pt>
              </c:numCache>
            </c:numRef>
          </c:cat>
          <c:val>
            <c:numRef>
              <c:f>'Задача 2 (Ресурсы ЖБИ)'!$G$8:$G$22</c:f>
              <c:numCache>
                <c:formatCode>0.00</c:formatCode>
                <c:ptCount val="15"/>
                <c:pt idx="0">
                  <c:v>51.869513641755638</c:v>
                </c:pt>
                <c:pt idx="1">
                  <c:v>50.263345195729535</c:v>
                </c:pt>
                <c:pt idx="2">
                  <c:v>48.657176749703446</c:v>
                </c:pt>
                <c:pt idx="3">
                  <c:v>48.062894424673786</c:v>
                </c:pt>
                <c:pt idx="4">
                  <c:v>47.051008303677342</c:v>
                </c:pt>
                <c:pt idx="5">
                  <c:v>45.444839857651253</c:v>
                </c:pt>
                <c:pt idx="6">
                  <c:v>43.83867141162515</c:v>
                </c:pt>
                <c:pt idx="7">
                  <c:v>42.232502965599053</c:v>
                </c:pt>
                <c:pt idx="8">
                  <c:v>40.626334519572957</c:v>
                </c:pt>
                <c:pt idx="9">
                  <c:v>39.020166073546861</c:v>
                </c:pt>
                <c:pt idx="10">
                  <c:v>37.413997627520757</c:v>
                </c:pt>
                <c:pt idx="11">
                  <c:v>37.221257413997634</c:v>
                </c:pt>
                <c:pt idx="12">
                  <c:v>34.201660735468565</c:v>
                </c:pt>
                <c:pt idx="13">
                  <c:v>30.989323843416372</c:v>
                </c:pt>
                <c:pt idx="14">
                  <c:v>30.10593119810202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E7A-4F45-B20E-CB9FBE44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 (</a:t>
                </a:r>
                <a:r>
                  <a:rPr lang="ru-RU"/>
                  <a:t>ЖБИ 1-го типа, шт.)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 (</a:t>
                </a:r>
                <a:r>
                  <a:rPr lang="ru-RU"/>
                  <a:t>ЖБИ 2-го типа, шт.)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594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594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31"/>
  <sheetViews>
    <sheetView tabSelected="1" workbookViewId="0">
      <selection activeCell="M34" sqref="M34"/>
    </sheetView>
  </sheetViews>
  <sheetFormatPr defaultRowHeight="15" x14ac:dyDescent="0.25"/>
  <cols>
    <col min="1" max="1" width="2.42578125" customWidth="1"/>
    <col min="2" max="7" width="13" customWidth="1"/>
    <col min="8" max="8" width="3" customWidth="1"/>
    <col min="9" max="16" width="8" customWidth="1"/>
  </cols>
  <sheetData>
    <row r="1" spans="2:14" ht="17.25" x14ac:dyDescent="0.3">
      <c r="B1" s="1" t="s">
        <v>0</v>
      </c>
    </row>
    <row r="2" spans="2:14" x14ac:dyDescent="0.25">
      <c r="B2" s="2" t="s">
        <v>1</v>
      </c>
    </row>
    <row r="3" spans="2:14" x14ac:dyDescent="0.25">
      <c r="B3" s="3" t="s">
        <v>39</v>
      </c>
    </row>
    <row r="4" spans="2:14" x14ac:dyDescent="0.25"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6" spans="2:14" ht="20.100000000000001" customHeight="1" x14ac:dyDescent="0.25">
      <c r="B6" s="13" t="s">
        <v>3</v>
      </c>
      <c r="C6" s="13"/>
      <c r="D6" s="13"/>
      <c r="E6" s="13"/>
      <c r="F6" s="5" t="s">
        <v>4</v>
      </c>
      <c r="G6" s="6">
        <v>27.49</v>
      </c>
    </row>
    <row r="7" spans="2:14" ht="20.100000000000001" customHeight="1" x14ac:dyDescent="0.25"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spans="2:14" ht="17.100000000000001" customHeight="1" x14ac:dyDescent="0.25">
      <c r="B8" s="7">
        <v>0</v>
      </c>
      <c r="C8" s="8">
        <f t="shared" ref="C8:C21" si="0">6 - 2.1*B8</f>
        <v>6</v>
      </c>
      <c r="D8" s="8">
        <f t="shared" ref="D8:D21" si="1">(12 - 2*B8)/3</f>
        <v>4</v>
      </c>
      <c r="E8" s="8">
        <v>0.96</v>
      </c>
      <c r="F8" s="8">
        <v>0</v>
      </c>
      <c r="G8" s="8">
        <f t="shared" ref="G8:G21" si="2">($G$6 - 6.5*B8)/6</f>
        <v>4.5816666666666661</v>
      </c>
    </row>
    <row r="9" spans="2:14" ht="17.100000000000001" customHeight="1" x14ac:dyDescent="0.25">
      <c r="B9" s="7">
        <v>0.5</v>
      </c>
      <c r="C9" s="8">
        <f t="shared" si="0"/>
        <v>4.95</v>
      </c>
      <c r="D9" s="8">
        <f t="shared" si="1"/>
        <v>3.6666666666666665</v>
      </c>
      <c r="E9" s="8">
        <v>0.96</v>
      </c>
      <c r="F9" s="8">
        <v>0</v>
      </c>
      <c r="G9" s="8">
        <f t="shared" si="2"/>
        <v>4.04</v>
      </c>
    </row>
    <row r="10" spans="2:14" ht="17.100000000000001" customHeight="1" x14ac:dyDescent="0.25">
      <c r="B10" s="7">
        <v>1</v>
      </c>
      <c r="C10" s="8">
        <f t="shared" si="0"/>
        <v>3.9</v>
      </c>
      <c r="D10" s="8">
        <f t="shared" si="1"/>
        <v>3.3333333333333335</v>
      </c>
      <c r="E10" s="8">
        <v>0.96</v>
      </c>
      <c r="F10" s="8">
        <v>0</v>
      </c>
      <c r="G10" s="8">
        <f t="shared" si="2"/>
        <v>3.4983333333333331</v>
      </c>
    </row>
    <row r="11" spans="2:14" ht="17.100000000000001" customHeight="1" x14ac:dyDescent="0.25">
      <c r="B11" s="7">
        <v>1.4</v>
      </c>
      <c r="C11" s="8">
        <f t="shared" si="0"/>
        <v>3.06</v>
      </c>
      <c r="D11" s="8">
        <f t="shared" si="1"/>
        <v>3.0666666666666664</v>
      </c>
      <c r="E11" s="8">
        <v>0.96</v>
      </c>
      <c r="F11" s="8">
        <v>0</v>
      </c>
      <c r="G11" s="8">
        <f t="shared" si="2"/>
        <v>3.0649999999999999</v>
      </c>
    </row>
    <row r="12" spans="2:14" ht="17.100000000000001" customHeight="1" x14ac:dyDescent="0.25">
      <c r="B12" s="7">
        <v>1.5</v>
      </c>
      <c r="C12" s="8">
        <f t="shared" si="0"/>
        <v>2.8499999999999996</v>
      </c>
      <c r="D12" s="8">
        <f t="shared" si="1"/>
        <v>3</v>
      </c>
      <c r="E12" s="8">
        <v>0.96</v>
      </c>
      <c r="F12" s="8">
        <v>0</v>
      </c>
      <c r="G12" s="8">
        <f t="shared" si="2"/>
        <v>2.9566666666666666</v>
      </c>
    </row>
    <row r="13" spans="2:14" ht="17.100000000000001" customHeight="1" x14ac:dyDescent="0.25">
      <c r="B13" s="7">
        <v>2</v>
      </c>
      <c r="C13" s="8">
        <f t="shared" si="0"/>
        <v>1.7999999999999998</v>
      </c>
      <c r="D13" s="8">
        <f t="shared" si="1"/>
        <v>2.6666666666666665</v>
      </c>
      <c r="E13" s="8">
        <v>0.96</v>
      </c>
      <c r="F13" s="8">
        <v>0</v>
      </c>
      <c r="G13" s="8">
        <f t="shared" si="2"/>
        <v>2.4149999999999996</v>
      </c>
    </row>
    <row r="14" spans="2:14" ht="17.100000000000001" customHeight="1" x14ac:dyDescent="0.25">
      <c r="B14" s="7">
        <v>2.5</v>
      </c>
      <c r="C14" s="8">
        <f t="shared" si="0"/>
        <v>0.75</v>
      </c>
      <c r="D14" s="8">
        <f t="shared" si="1"/>
        <v>2.3333333333333335</v>
      </c>
      <c r="E14" s="8">
        <v>0.96</v>
      </c>
      <c r="F14" s="8">
        <v>0</v>
      </c>
      <c r="G14" s="8">
        <f t="shared" si="2"/>
        <v>1.8733333333333331</v>
      </c>
    </row>
    <row r="15" spans="2:14" ht="17.100000000000001" customHeight="1" x14ac:dyDescent="0.25">
      <c r="B15" s="7">
        <v>3</v>
      </c>
      <c r="C15" s="8">
        <f t="shared" si="0"/>
        <v>-0.30000000000000071</v>
      </c>
      <c r="D15" s="8">
        <f t="shared" si="1"/>
        <v>2</v>
      </c>
      <c r="E15" s="8">
        <v>0.96</v>
      </c>
      <c r="F15" s="8">
        <v>0</v>
      </c>
      <c r="G15" s="8">
        <f t="shared" si="2"/>
        <v>1.3316666666666663</v>
      </c>
    </row>
    <row r="16" spans="2:14" ht="17.100000000000001" customHeight="1" x14ac:dyDescent="0.25">
      <c r="B16" s="7">
        <v>3.5</v>
      </c>
      <c r="C16" s="8">
        <f t="shared" si="0"/>
        <v>-1.3500000000000005</v>
      </c>
      <c r="D16" s="8">
        <f t="shared" si="1"/>
        <v>1.6666666666666667</v>
      </c>
      <c r="E16" s="8">
        <v>0.96</v>
      </c>
      <c r="F16" s="8">
        <v>0</v>
      </c>
      <c r="G16" s="8">
        <f t="shared" si="2"/>
        <v>0.7899999999999997</v>
      </c>
    </row>
    <row r="17" spans="2:14" ht="17.100000000000001" customHeight="1" x14ac:dyDescent="0.25">
      <c r="B17" s="7">
        <v>4</v>
      </c>
      <c r="C17" s="8">
        <f t="shared" si="0"/>
        <v>-2.4000000000000004</v>
      </c>
      <c r="D17" s="8">
        <f t="shared" si="1"/>
        <v>1.3333333333333333</v>
      </c>
      <c r="E17" s="8">
        <v>0.96</v>
      </c>
      <c r="F17" s="8">
        <v>0</v>
      </c>
      <c r="G17" s="8">
        <f t="shared" si="2"/>
        <v>0.24833333333333307</v>
      </c>
    </row>
    <row r="18" spans="2:14" ht="17.100000000000001" customHeight="1" x14ac:dyDescent="0.25">
      <c r="B18" s="7">
        <v>4.5599999999999996</v>
      </c>
      <c r="C18" s="8">
        <f t="shared" si="0"/>
        <v>-3.5759999999999987</v>
      </c>
      <c r="D18" s="8">
        <f t="shared" si="1"/>
        <v>0.9600000000000003</v>
      </c>
      <c r="E18" s="8">
        <v>0.96</v>
      </c>
      <c r="F18" s="8">
        <v>0</v>
      </c>
      <c r="G18" s="8">
        <f t="shared" si="2"/>
        <v>-0.35833333333333311</v>
      </c>
    </row>
    <row r="19" spans="2:14" ht="17.100000000000001" customHeight="1" x14ac:dyDescent="0.25">
      <c r="B19" s="7">
        <v>5</v>
      </c>
      <c r="C19" s="8">
        <f t="shared" si="0"/>
        <v>-4.5</v>
      </c>
      <c r="D19" s="8">
        <f t="shared" si="1"/>
        <v>0.66666666666666663</v>
      </c>
      <c r="E19" s="8">
        <v>0.96</v>
      </c>
      <c r="F19" s="8">
        <v>0</v>
      </c>
      <c r="G19" s="8">
        <f t="shared" si="2"/>
        <v>-0.8350000000000003</v>
      </c>
    </row>
    <row r="20" spans="2:14" ht="17.100000000000001" customHeight="1" x14ac:dyDescent="0.25">
      <c r="B20" s="7">
        <v>5.5</v>
      </c>
      <c r="C20" s="8">
        <f t="shared" si="0"/>
        <v>-5.5500000000000007</v>
      </c>
      <c r="D20" s="8">
        <f t="shared" si="1"/>
        <v>0.33333333333333331</v>
      </c>
      <c r="E20" s="8">
        <v>0.96</v>
      </c>
      <c r="F20" s="8">
        <v>0</v>
      </c>
      <c r="G20" s="8">
        <f t="shared" si="2"/>
        <v>-1.3766666666666669</v>
      </c>
    </row>
    <row r="21" spans="2:14" ht="17.100000000000001" customHeight="1" x14ac:dyDescent="0.25">
      <c r="B21" s="7">
        <v>6</v>
      </c>
      <c r="C21" s="8">
        <f t="shared" si="0"/>
        <v>-6.6000000000000014</v>
      </c>
      <c r="D21" s="8">
        <f t="shared" si="1"/>
        <v>0</v>
      </c>
      <c r="E21" s="8">
        <v>0.96</v>
      </c>
      <c r="F21" s="8">
        <v>0</v>
      </c>
      <c r="G21" s="8">
        <f t="shared" si="2"/>
        <v>-1.9183333333333337</v>
      </c>
    </row>
    <row r="23" spans="2:14" x14ac:dyDescent="0.25">
      <c r="B23" s="14" t="s">
        <v>11</v>
      </c>
      <c r="C23" s="14"/>
      <c r="D23" s="14"/>
      <c r="E23" s="14"/>
      <c r="F23" s="14"/>
      <c r="G23" s="14"/>
    </row>
    <row r="24" spans="2:14" ht="18" customHeight="1" x14ac:dyDescent="0.25">
      <c r="B24" s="15" t="s">
        <v>12</v>
      </c>
      <c r="C24" s="15"/>
      <c r="D24" s="15"/>
      <c r="E24" s="9">
        <v>1.4</v>
      </c>
      <c r="F24" s="10" t="s">
        <v>13</v>
      </c>
      <c r="G24" s="10"/>
    </row>
    <row r="25" spans="2:14" ht="18" customHeight="1" x14ac:dyDescent="0.25">
      <c r="B25" s="15" t="s">
        <v>14</v>
      </c>
      <c r="C25" s="15"/>
      <c r="D25" s="15"/>
      <c r="E25" s="9">
        <v>3.07</v>
      </c>
      <c r="F25" s="10" t="s">
        <v>13</v>
      </c>
      <c r="G25" s="10"/>
    </row>
    <row r="26" spans="2:14" ht="18" customHeight="1" x14ac:dyDescent="0.25">
      <c r="B26" s="15" t="s">
        <v>15</v>
      </c>
      <c r="C26" s="15"/>
      <c r="D26" s="15"/>
      <c r="E26" s="9">
        <v>27.49</v>
      </c>
      <c r="F26" s="10" t="s">
        <v>16</v>
      </c>
      <c r="G26" s="10"/>
    </row>
    <row r="28" spans="2:14" ht="15.95" customHeight="1" x14ac:dyDescent="0.25">
      <c r="B28" s="11" t="s">
        <v>17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2:14" ht="15.95" customHeight="1" x14ac:dyDescent="0.25">
      <c r="B29" s="11" t="s">
        <v>18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2:14" ht="15.95" customHeight="1" x14ac:dyDescent="0.25">
      <c r="B30" s="11" t="s">
        <v>19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2:14" ht="15.95" customHeight="1" x14ac:dyDescent="0.25">
      <c r="B31" s="11" t="s">
        <v>20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</sheetData>
  <mergeCells count="13">
    <mergeCell ref="F24:G24"/>
    <mergeCell ref="B31:N31"/>
    <mergeCell ref="B4:N4"/>
    <mergeCell ref="B6:E6"/>
    <mergeCell ref="B23:G23"/>
    <mergeCell ref="F25:G25"/>
    <mergeCell ref="B26:D26"/>
    <mergeCell ref="B30:N30"/>
    <mergeCell ref="B29:N29"/>
    <mergeCell ref="F26:G26"/>
    <mergeCell ref="B25:D25"/>
    <mergeCell ref="B24:D24"/>
    <mergeCell ref="B28:N28"/>
  </mergeCells>
  <pageMargins left="0.5" right="0.5" top="0.5" bottom="0.5" header="0.5" footer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32"/>
  <sheetViews>
    <sheetView workbookViewId="0">
      <selection activeCell="Y16" sqref="Y16"/>
    </sheetView>
  </sheetViews>
  <sheetFormatPr defaultRowHeight="15" x14ac:dyDescent="0.25"/>
  <cols>
    <col min="1" max="1" width="2.42578125" customWidth="1"/>
    <col min="2" max="7" width="13" customWidth="1"/>
    <col min="8" max="8" width="3" customWidth="1"/>
    <col min="9" max="16" width="8" customWidth="1"/>
  </cols>
  <sheetData>
    <row r="1" spans="2:14" ht="17.25" x14ac:dyDescent="0.3">
      <c r="B1" s="1" t="s">
        <v>0</v>
      </c>
    </row>
    <row r="2" spans="2:14" x14ac:dyDescent="0.25">
      <c r="B2" s="2" t="s">
        <v>37</v>
      </c>
    </row>
    <row r="3" spans="2:14" x14ac:dyDescent="0.25">
      <c r="B3" s="3" t="s">
        <v>38</v>
      </c>
    </row>
    <row r="4" spans="2:14" x14ac:dyDescent="0.25">
      <c r="B4" s="12" t="s">
        <v>21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6" spans="2:14" ht="20.100000000000001" customHeight="1" x14ac:dyDescent="0.25">
      <c r="B6" s="13" t="s">
        <v>22</v>
      </c>
      <c r="C6" s="13"/>
      <c r="D6" s="13"/>
      <c r="E6" s="13"/>
      <c r="F6" s="5" t="s">
        <v>23</v>
      </c>
      <c r="G6" s="6">
        <v>437.26</v>
      </c>
    </row>
    <row r="7" spans="2:14" ht="20.100000000000001" customHeight="1" x14ac:dyDescent="0.25">
      <c r="B7" s="4" t="s">
        <v>24</v>
      </c>
      <c r="C7" s="4" t="s">
        <v>25</v>
      </c>
      <c r="D7" s="4" t="s">
        <v>26</v>
      </c>
      <c r="E7" s="4" t="s">
        <v>27</v>
      </c>
      <c r="F7" s="4" t="s">
        <v>9</v>
      </c>
      <c r="G7" s="4" t="s">
        <v>10</v>
      </c>
    </row>
    <row r="8" spans="2:14" ht="17.100000000000001" customHeight="1" x14ac:dyDescent="0.25">
      <c r="B8" s="7">
        <v>0</v>
      </c>
      <c r="C8" s="8">
        <f t="shared" ref="C8:C22" si="0">(271 - 2.8*B8)/5.5</f>
        <v>49.272727272727273</v>
      </c>
      <c r="D8" s="8">
        <f t="shared" ref="D8:D22" si="1">(616.6 - 22.9*B8)/11.7</f>
        <v>52.700854700854705</v>
      </c>
      <c r="E8" s="8">
        <f t="shared" ref="E8:E22" si="2">(256 - 18.9*B8)/2.4</f>
        <v>106.66666666666667</v>
      </c>
      <c r="F8" s="8">
        <v>0</v>
      </c>
      <c r="G8" s="8">
        <f t="shared" ref="G8:G22" si="3">($G$6 - 13.54*B8)/8.43</f>
        <v>51.869513641755638</v>
      </c>
    </row>
    <row r="9" spans="2:14" ht="17.100000000000001" customHeight="1" x14ac:dyDescent="0.25">
      <c r="B9" s="7">
        <v>1</v>
      </c>
      <c r="C9" s="8">
        <f t="shared" si="0"/>
        <v>48.763636363636358</v>
      </c>
      <c r="D9" s="8">
        <f t="shared" si="1"/>
        <v>50.743589743589752</v>
      </c>
      <c r="E9" s="8">
        <f t="shared" si="2"/>
        <v>98.791666666666671</v>
      </c>
      <c r="F9" s="8">
        <v>0</v>
      </c>
      <c r="G9" s="8">
        <f t="shared" si="3"/>
        <v>50.263345195729535</v>
      </c>
    </row>
    <row r="10" spans="2:14" ht="17.100000000000001" customHeight="1" x14ac:dyDescent="0.25">
      <c r="B10" s="7">
        <v>2</v>
      </c>
      <c r="C10" s="8">
        <f t="shared" si="0"/>
        <v>48.25454545454545</v>
      </c>
      <c r="D10" s="8">
        <f t="shared" si="1"/>
        <v>48.786324786324798</v>
      </c>
      <c r="E10" s="8">
        <f t="shared" si="2"/>
        <v>90.916666666666671</v>
      </c>
      <c r="F10" s="8">
        <v>0</v>
      </c>
      <c r="G10" s="8">
        <f t="shared" si="3"/>
        <v>48.657176749703446</v>
      </c>
    </row>
    <row r="11" spans="2:14" ht="17.100000000000001" customHeight="1" x14ac:dyDescent="0.25">
      <c r="B11" s="7">
        <v>2.37</v>
      </c>
      <c r="C11" s="8">
        <f t="shared" si="0"/>
        <v>48.066181818181811</v>
      </c>
      <c r="D11" s="8">
        <f t="shared" si="1"/>
        <v>48.062136752136752</v>
      </c>
      <c r="E11" s="8">
        <f t="shared" si="2"/>
        <v>88.002916666666664</v>
      </c>
      <c r="F11" s="8">
        <v>0</v>
      </c>
      <c r="G11" s="8">
        <f t="shared" si="3"/>
        <v>48.062894424673786</v>
      </c>
    </row>
    <row r="12" spans="2:14" ht="17.100000000000001" customHeight="1" x14ac:dyDescent="0.25">
      <c r="B12" s="7">
        <v>3</v>
      </c>
      <c r="C12" s="8">
        <f t="shared" si="0"/>
        <v>47.74545454545455</v>
      </c>
      <c r="D12" s="8">
        <f t="shared" si="1"/>
        <v>46.829059829059837</v>
      </c>
      <c r="E12" s="8">
        <f t="shared" si="2"/>
        <v>83.041666666666671</v>
      </c>
      <c r="F12" s="8">
        <v>0</v>
      </c>
      <c r="G12" s="8">
        <f t="shared" si="3"/>
        <v>47.051008303677342</v>
      </c>
    </row>
    <row r="13" spans="2:14" ht="17.100000000000001" customHeight="1" x14ac:dyDescent="0.25">
      <c r="B13" s="7">
        <v>4</v>
      </c>
      <c r="C13" s="8">
        <f t="shared" si="0"/>
        <v>47.236363636363642</v>
      </c>
      <c r="D13" s="8">
        <f t="shared" si="1"/>
        <v>44.871794871794876</v>
      </c>
      <c r="E13" s="8">
        <f t="shared" si="2"/>
        <v>75.166666666666671</v>
      </c>
      <c r="F13" s="8">
        <v>0</v>
      </c>
      <c r="G13" s="8">
        <f t="shared" si="3"/>
        <v>45.444839857651253</v>
      </c>
    </row>
    <row r="14" spans="2:14" ht="17.100000000000001" customHeight="1" x14ac:dyDescent="0.25">
      <c r="B14" s="7">
        <v>5</v>
      </c>
      <c r="C14" s="8">
        <f t="shared" si="0"/>
        <v>46.727272727272727</v>
      </c>
      <c r="D14" s="8">
        <f t="shared" si="1"/>
        <v>42.914529914529922</v>
      </c>
      <c r="E14" s="8">
        <f t="shared" si="2"/>
        <v>67.291666666666671</v>
      </c>
      <c r="F14" s="8">
        <v>0</v>
      </c>
      <c r="G14" s="8">
        <f t="shared" si="3"/>
        <v>43.83867141162515</v>
      </c>
    </row>
    <row r="15" spans="2:14" ht="17.100000000000001" customHeight="1" x14ac:dyDescent="0.25">
      <c r="B15" s="7">
        <v>6</v>
      </c>
      <c r="C15" s="8">
        <f t="shared" si="0"/>
        <v>46.218181818181819</v>
      </c>
      <c r="D15" s="8">
        <f t="shared" si="1"/>
        <v>40.957264957264961</v>
      </c>
      <c r="E15" s="8">
        <f t="shared" si="2"/>
        <v>59.416666666666679</v>
      </c>
      <c r="F15" s="8">
        <v>0</v>
      </c>
      <c r="G15" s="8">
        <f t="shared" si="3"/>
        <v>42.232502965599053</v>
      </c>
    </row>
    <row r="16" spans="2:14" ht="17.100000000000001" customHeight="1" x14ac:dyDescent="0.25">
      <c r="B16" s="7">
        <v>7</v>
      </c>
      <c r="C16" s="8">
        <f t="shared" si="0"/>
        <v>45.709090909090911</v>
      </c>
      <c r="D16" s="8">
        <f t="shared" si="1"/>
        <v>39.000000000000007</v>
      </c>
      <c r="E16" s="8">
        <f t="shared" si="2"/>
        <v>51.541666666666679</v>
      </c>
      <c r="F16" s="8">
        <v>0</v>
      </c>
      <c r="G16" s="8">
        <f t="shared" si="3"/>
        <v>40.626334519572957</v>
      </c>
    </row>
    <row r="17" spans="2:14" ht="17.100000000000001" customHeight="1" x14ac:dyDescent="0.25">
      <c r="B17" s="7">
        <v>8</v>
      </c>
      <c r="C17" s="8">
        <f t="shared" si="0"/>
        <v>45.199999999999996</v>
      </c>
      <c r="D17" s="8">
        <f t="shared" si="1"/>
        <v>37.042735042735046</v>
      </c>
      <c r="E17" s="8">
        <f t="shared" si="2"/>
        <v>43.666666666666671</v>
      </c>
      <c r="F17" s="8">
        <v>0</v>
      </c>
      <c r="G17" s="8">
        <f t="shared" si="3"/>
        <v>39.020166073546861</v>
      </c>
    </row>
    <row r="18" spans="2:14" ht="17.100000000000001" customHeight="1" x14ac:dyDescent="0.25">
      <c r="B18" s="7">
        <v>9</v>
      </c>
      <c r="C18" s="8">
        <f t="shared" si="0"/>
        <v>44.690909090909095</v>
      </c>
      <c r="D18" s="8">
        <f t="shared" si="1"/>
        <v>35.085470085470085</v>
      </c>
      <c r="E18" s="8">
        <f t="shared" si="2"/>
        <v>35.791666666666671</v>
      </c>
      <c r="F18" s="8">
        <v>0</v>
      </c>
      <c r="G18" s="8">
        <f t="shared" si="3"/>
        <v>37.413997627520757</v>
      </c>
    </row>
    <row r="19" spans="2:14" ht="17.100000000000001" customHeight="1" x14ac:dyDescent="0.25">
      <c r="B19" s="7">
        <v>9.1199999999999992</v>
      </c>
      <c r="C19" s="8">
        <f t="shared" si="0"/>
        <v>44.62981818181818</v>
      </c>
      <c r="D19" s="8">
        <f t="shared" si="1"/>
        <v>34.850598290598299</v>
      </c>
      <c r="E19" s="8">
        <f t="shared" si="2"/>
        <v>34.846666666666685</v>
      </c>
      <c r="F19" s="8">
        <v>0</v>
      </c>
      <c r="G19" s="8">
        <f t="shared" si="3"/>
        <v>37.221257413997634</v>
      </c>
    </row>
    <row r="20" spans="2:14" ht="17.100000000000001" customHeight="1" x14ac:dyDescent="0.25">
      <c r="B20" s="7">
        <v>11</v>
      </c>
      <c r="C20" s="8">
        <f t="shared" si="0"/>
        <v>43.672727272727272</v>
      </c>
      <c r="D20" s="8">
        <f t="shared" si="1"/>
        <v>31.170940170940177</v>
      </c>
      <c r="E20" s="8">
        <f t="shared" si="2"/>
        <v>20.041666666666679</v>
      </c>
      <c r="F20" s="8">
        <v>0</v>
      </c>
      <c r="G20" s="8">
        <f t="shared" si="3"/>
        <v>34.201660735468565</v>
      </c>
    </row>
    <row r="21" spans="2:14" ht="17.100000000000001" customHeight="1" x14ac:dyDescent="0.25">
      <c r="B21" s="7">
        <v>13</v>
      </c>
      <c r="C21" s="8">
        <f t="shared" si="0"/>
        <v>42.654545454545456</v>
      </c>
      <c r="D21" s="8">
        <f t="shared" si="1"/>
        <v>27.256410256410263</v>
      </c>
      <c r="E21" s="8">
        <f t="shared" si="2"/>
        <v>4.2916666666666714</v>
      </c>
      <c r="F21" s="8">
        <v>0</v>
      </c>
      <c r="G21" s="8">
        <f t="shared" si="3"/>
        <v>30.989323843416372</v>
      </c>
    </row>
    <row r="22" spans="2:14" ht="17.100000000000001" customHeight="1" x14ac:dyDescent="0.25">
      <c r="B22" s="7">
        <v>13.55</v>
      </c>
      <c r="C22" s="8">
        <f t="shared" si="0"/>
        <v>42.374545454545455</v>
      </c>
      <c r="D22" s="8">
        <f t="shared" si="1"/>
        <v>26.179914529914534</v>
      </c>
      <c r="E22" s="8">
        <f t="shared" si="2"/>
        <v>-3.9583333333321022E-2</v>
      </c>
      <c r="F22" s="8">
        <v>0</v>
      </c>
      <c r="G22" s="8">
        <f t="shared" si="3"/>
        <v>30.10593119810202</v>
      </c>
    </row>
    <row r="24" spans="2:14" x14ac:dyDescent="0.25">
      <c r="B24" s="14" t="s">
        <v>28</v>
      </c>
      <c r="C24" s="14"/>
      <c r="D24" s="14"/>
      <c r="E24" s="14"/>
      <c r="F24" s="14"/>
      <c r="G24" s="14"/>
    </row>
    <row r="25" spans="2:14" ht="18" customHeight="1" x14ac:dyDescent="0.25">
      <c r="B25" s="15" t="s">
        <v>29</v>
      </c>
      <c r="C25" s="15"/>
      <c r="D25" s="15"/>
      <c r="E25" s="9">
        <v>2.37</v>
      </c>
      <c r="F25" s="10" t="s">
        <v>30</v>
      </c>
      <c r="G25" s="10"/>
    </row>
    <row r="26" spans="2:14" ht="18" customHeight="1" x14ac:dyDescent="0.25">
      <c r="B26" s="15" t="s">
        <v>31</v>
      </c>
      <c r="C26" s="15"/>
      <c r="D26" s="15"/>
      <c r="E26" s="9">
        <v>48.07</v>
      </c>
      <c r="F26" s="10" t="s">
        <v>30</v>
      </c>
      <c r="G26" s="10"/>
    </row>
    <row r="27" spans="2:14" ht="18" customHeight="1" x14ac:dyDescent="0.25">
      <c r="B27" s="15" t="s">
        <v>32</v>
      </c>
      <c r="C27" s="15"/>
      <c r="D27" s="15"/>
      <c r="E27" s="9">
        <v>437.26</v>
      </c>
      <c r="F27" s="10" t="s">
        <v>16</v>
      </c>
      <c r="G27" s="10"/>
    </row>
    <row r="29" spans="2:14" ht="15.95" customHeight="1" x14ac:dyDescent="0.25">
      <c r="B29" s="11" t="s">
        <v>33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2:14" ht="15.95" customHeight="1" x14ac:dyDescent="0.25">
      <c r="B30" s="11" t="s">
        <v>34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2:14" ht="15.95" customHeight="1" x14ac:dyDescent="0.25">
      <c r="B31" s="11" t="s">
        <v>35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2:14" ht="15.95" customHeight="1" x14ac:dyDescent="0.25">
      <c r="B32" s="11" t="s">
        <v>36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</sheetData>
  <mergeCells count="13">
    <mergeCell ref="B24:G24"/>
    <mergeCell ref="F27:G27"/>
    <mergeCell ref="B31:N31"/>
    <mergeCell ref="B32:N32"/>
    <mergeCell ref="B4:N4"/>
    <mergeCell ref="B6:E6"/>
    <mergeCell ref="F25:G25"/>
    <mergeCell ref="B26:D26"/>
    <mergeCell ref="B27:D27"/>
    <mergeCell ref="B30:N30"/>
    <mergeCell ref="B29:N29"/>
    <mergeCell ref="F26:G26"/>
    <mergeCell ref="B25:D25"/>
  </mergeCells>
  <pageMargins left="0.5" right="0.5" top="0.5" bottom="0.5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1 (Диета)</vt:lpstr>
      <vt:lpstr>Задача 2 (Ресурсы ЖБИ)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enq enq</cp:lastModifiedBy>
  <dcterms:created xsi:type="dcterms:W3CDTF">2026-10-20T22:17:16Z</dcterms:created>
  <dcterms:modified xsi:type="dcterms:W3CDTF">2026-10-20T22:34:17Z</dcterms:modified>
</cp:coreProperties>
</file>